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ashboard" sheetId="1" r:id="rId4"/>
    <sheet state="visible" name="Main Tasks" sheetId="2" r:id="rId5"/>
    <sheet state="visible" name="Subtasks" sheetId="3" r:id="rId6"/>
    <sheet state="visible" name="2-Week Plan" sheetId="4" r:id="rId7"/>
    <sheet state="visible" name="How to Use" sheetId="5" r:id="rId8"/>
  </sheets>
  <definedNames/>
  <calcPr/>
  <extLst>
    <ext uri="GoogleSheetsCustomDataVersion2">
      <go:sheetsCustomData xmlns:go="http://customooxmlschemas.google.com/" r:id="rId9" roundtripDataChecksum="6MYwg/lqmY5g6dPi+RyIbVMIO7LDWajEUHactpaT4X0="/>
    </ext>
  </extLst>
</workbook>
</file>

<file path=xl/sharedStrings.xml><?xml version="1.0" encoding="utf-8"?>
<sst xmlns="http://schemas.openxmlformats.org/spreadsheetml/2006/main" count="1071" uniqueCount="464">
  <si>
    <t>QUANTEDGE 1.0 — TEAM PROJECT DASHBOARD</t>
  </si>
  <si>
    <t>19 tasks | two-week sprint | status and subtask progress</t>
  </si>
  <si>
    <t>QUANTEDGE 1.0 — SUBTASK TRACKER</t>
  </si>
  <si>
    <t>QUANTEDGE 1.0 — THREE-WEEK PLAN</t>
  </si>
  <si>
    <t>PROJECT INDICATOR</t>
  </si>
  <si>
    <t>VALUE</t>
  </si>
  <si>
    <t>TEAM MEMBER / GROUP</t>
  </si>
  <si>
    <t>Illustrative relative-week plan; set real dates only after confirming the submission deadline.</t>
  </si>
  <si>
    <t>Mark individual subtasks Done; main-task progress updates automatically.</t>
  </si>
  <si>
    <t>MAIN TASKS</t>
  </si>
  <si>
    <t>DONE</t>
  </si>
  <si>
    <t>BLOCKED</t>
  </si>
  <si>
    <t>Main tasks</t>
  </si>
  <si>
    <t>Phase</t>
  </si>
  <si>
    <t>Subtask ID</t>
  </si>
  <si>
    <t>Focus</t>
  </si>
  <si>
    <t>Task groups</t>
  </si>
  <si>
    <t>Task ID</t>
  </si>
  <si>
    <t>Definition of completion</t>
  </si>
  <si>
    <t>Main Task</t>
  </si>
  <si>
    <t>Actionable Subtask</t>
  </si>
  <si>
    <t>Suggested participants</t>
  </si>
  <si>
    <t>Assigned Owner</t>
  </si>
  <si>
    <t>Week 1</t>
  </si>
  <si>
    <t>Research &amp; foundations</t>
  </si>
  <si>
    <t>T1, T2, T3; begin T4</t>
  </si>
  <si>
    <t>Agree mandate, repository, clean prices, shared interface</t>
  </si>
  <si>
    <t>Malindu + Raveena + Dewmini</t>
  </si>
  <si>
    <t>Week 2</t>
  </si>
  <si>
    <t>Portfolio and risk build</t>
  </si>
  <si>
    <t>T4–T9; begin T10, T11, T14</t>
  </si>
  <si>
    <t>Three candidate portfolios, KPI and baseline VaR/ES/EVT/GARCH</t>
  </si>
  <si>
    <t>Dewmini + Raveena + Sujan + Malindu</t>
  </si>
  <si>
    <t>Status</t>
  </si>
  <si>
    <t>Testing, integration &amp; decisions</t>
  </si>
  <si>
    <t>Target Week</t>
  </si>
  <si>
    <t>Complete T10–T18; optional T12–T13</t>
  </si>
  <si>
    <t>Due Date</t>
  </si>
  <si>
    <t>Backtesting, stress tests, app, documents, reproducibility and AI log</t>
  </si>
  <si>
    <t>Evidence / Link</t>
  </si>
  <si>
    <t>All members</t>
  </si>
  <si>
    <t>Notes</t>
  </si>
  <si>
    <t>Ongoing</t>
  </si>
  <si>
    <t>T1.01</t>
  </si>
  <si>
    <t>Quality reviews</t>
  </si>
  <si>
    <t>T18 and integration checks</t>
  </si>
  <si>
    <t>Human review of AI work, data leakage and reproducibility</t>
  </si>
  <si>
    <t>All members (Malindu coordinates)</t>
  </si>
  <si>
    <t>Only if finalist</t>
  </si>
  <si>
    <t>Pitch and Q&amp;A</t>
  </si>
  <si>
    <t>T19</t>
  </si>
  <si>
    <t>10–12 minute deck and mock judge questions</t>
  </si>
  <si>
    <t>T1</t>
  </si>
  <si>
    <t>Project setup and shared decisions</t>
  </si>
  <si>
    <t>Create shared GitHub repository and directory structure</t>
  </si>
  <si>
    <t>SCHEDULING GUIDELINE</t>
  </si>
  <si>
    <t>When your team agrees on the real submission date, enter actual Due Dates in Main Tasks and Subtasks. Google Calendar is best for meetings, demos and major deadline reminders—not all individual subtasks.</t>
  </si>
  <si>
    <t>Malindu</t>
  </si>
  <si>
    <t>Not Started</t>
  </si>
  <si>
    <t>QUANTEDGE 1.0 — MAIN TASK REGISTER</t>
  </si>
  <si>
    <t>T1.02</t>
  </si>
  <si>
    <t>Define environment, dependencies and setup commands</t>
  </si>
  <si>
    <t>Each subtask has its own row in column D; main-task fields are grouped. Update status in the first row of each group.</t>
  </si>
  <si>
    <t>T1.03</t>
  </si>
  <si>
    <t>Agree on common model input/output conventions</t>
  </si>
  <si>
    <t>T1.04</t>
  </si>
  <si>
    <t>Agree date range, risk-free rate, benchmark and ETF universe</t>
  </si>
  <si>
    <t>T1.05</t>
  </si>
  <si>
    <t>Record decisions, responsibility owners and review process</t>
  </si>
  <si>
    <t>T2.01</t>
  </si>
  <si>
    <t>T2</t>
  </si>
  <si>
    <t>Data pipeline and cleaning</t>
  </si>
  <si>
    <t>Download adjusted prices for all seven allowed ETFs</t>
  </si>
  <si>
    <t>Raveena</t>
  </si>
  <si>
    <t>Done</t>
  </si>
  <si>
    <t>What must come out of it</t>
  </si>
  <si>
    <t>T2.02</t>
  </si>
  <si>
    <t>Subtasks</t>
  </si>
  <si>
    <t>Document data source, download date and adjustment choices</t>
  </si>
  <si>
    <t>T2.03</t>
  </si>
  <si>
    <t>Priority</t>
  </si>
  <si>
    <t>Align calendars, missing observations and common sample</t>
  </si>
  <si>
    <t>T2.04</t>
  </si>
  <si>
    <t>Progress</t>
  </si>
  <si>
    <t>Calculate daily log returns and verify computations</t>
  </si>
  <si>
    <t>Completed tasks</t>
  </si>
  <si>
    <t>Notes / Links</t>
  </si>
  <si>
    <t>T2.05</t>
  </si>
  <si>
    <t>Flag potential outliers without automatically deleting them</t>
  </si>
  <si>
    <t>T2.06</t>
  </si>
  <si>
    <t>Run ADF tests and export reproducible clean datasets</t>
  </si>
  <si>
    <t>T3.01</t>
  </si>
  <si>
    <t>T3</t>
  </si>
  <si>
    <t>Client mandate (investment policy)</t>
  </si>
  <si>
    <t>Define endowment horizon, investment purpose and liquidity needs</t>
  </si>
  <si>
    <t>Sujan</t>
  </si>
  <si>
    <t>Repo structure, environment, agreed function inputs and outputs, a decisions document (date range, risk-free rate, benchmark, universe).</t>
  </si>
  <si>
    <t>T3.02</t>
  </si>
  <si>
    <t>Propose justified return and inflation-protection objectives</t>
  </si>
  <si>
    <t>01  Create shared GitHub repository and directory structure</t>
  </si>
  <si>
    <t>T3.03</t>
  </si>
  <si>
    <t>Set no-short-selling, allocation caps and risk-budget rules</t>
  </si>
  <si>
    <t>In progress</t>
  </si>
  <si>
    <t>T3.04</t>
  </si>
  <si>
    <t>Propose VaR, ES and drawdown tolerances</t>
  </si>
  <si>
    <t>T3.05</t>
  </si>
  <si>
    <t>Document assumptions and secure team agreement</t>
  </si>
  <si>
    <t>Dewmini</t>
  </si>
  <si>
    <t>T4.01</t>
  </si>
  <si>
    <t>T4</t>
  </si>
  <si>
    <t>Portfolio construction and selection</t>
  </si>
  <si>
    <t>Estimate training returns, covariance matrix and correlations</t>
  </si>
  <si>
    <t>Weeks 1–2</t>
  </si>
  <si>
    <t>T4.02</t>
  </si>
  <si>
    <t>Implement constrained minimum-variance allocation</t>
  </si>
  <si>
    <t>T4.03</t>
  </si>
  <si>
    <t>Implement risk-parity allocation</t>
  </si>
  <si>
    <t>T4.04</t>
  </si>
  <si>
    <t>Implement capped maximum-Sharpe allocation</t>
  </si>
  <si>
    <t>T4.05</t>
  </si>
  <si>
    <t>Document Markowitz/CAPM concepts and benchmark assumptions</t>
  </si>
  <si>
    <t>Blocked tasks</t>
  </si>
  <si>
    <t>T4.06</t>
  </si>
  <si>
    <t>Compare diversification, concentration and feasible weights</t>
  </si>
  <si>
    <t>T4.07</t>
  </si>
  <si>
    <t>Provide candidate and proposed final weights with justification</t>
  </si>
  <si>
    <t>Supporting</t>
  </si>
  <si>
    <t>T5.01</t>
  </si>
  <si>
    <t>T5</t>
  </si>
  <si>
    <t>KPIs and benchmarks</t>
  </si>
  <si>
    <t>Implement Sharpe and Sortino metrics consistently</t>
  </si>
  <si>
    <t>T5.02</t>
  </si>
  <si>
    <t>Compute Treynor and Jensen alpha with market benchmark</t>
  </si>
  <si>
    <t>T5.03</t>
  </si>
  <si>
    <t>Compute Information Ratio against agreed benchmark</t>
  </si>
  <si>
    <t>T5.04</t>
  </si>
  <si>
    <t>Compute maximum drawdown and Calmar ratio</t>
  </si>
  <si>
    <t>Subtasks complete</t>
  </si>
  <si>
    <t>T5.05</t>
  </si>
  <si>
    <t>Prepare comparative KPI and benchmark results</t>
  </si>
  <si>
    <t>T6.01</t>
  </si>
  <si>
    <t>T6</t>
  </si>
  <si>
    <t>VaR with 3 methods</t>
  </si>
  <si>
    <t>Fix portfolio losses convention and risk horizon</t>
  </si>
  <si>
    <t>T6.02</t>
  </si>
  <si>
    <t>Implement Historical VaR at 95% and 99%</t>
  </si>
  <si>
    <t>T6.03</t>
  </si>
  <si>
    <t>Implement Parametric VaR at 95% and 99%</t>
  </si>
  <si>
    <t>T6.04</t>
  </si>
  <si>
    <t>Implement Monte Carlo VaR at 95% and 99%</t>
  </si>
  <si>
    <t>T6.05</t>
  </si>
  <si>
    <t>Compare all methods on identical portfolios and windows</t>
  </si>
  <si>
    <t>T6.06</t>
  </si>
  <si>
    <t>Explain disagreements under calm and stressed conditions</t>
  </si>
  <si>
    <t>T7.01</t>
  </si>
  <si>
    <t>T7</t>
  </si>
  <si>
    <t>Expected Shortfall</t>
  </si>
  <si>
    <t>Compute Historical ES at 95% and 99%</t>
  </si>
  <si>
    <t>T7.02</t>
  </si>
  <si>
    <t>Compute ES from Parametric and Monte Carlo approaches</t>
  </si>
  <si>
    <t>T7.03</t>
  </si>
  <si>
    <t>Compare corresponding VaR and ES outcomes</t>
  </si>
  <si>
    <t>T7.04</t>
  </si>
  <si>
    <t>Explain expected tail losses and data limitations</t>
  </si>
  <si>
    <t>T8.01</t>
  </si>
  <si>
    <t>T8</t>
  </si>
  <si>
    <t>EVT and GARCH</t>
  </si>
  <si>
    <t>Implement and diagnose conditional volatility (GARCH)</t>
  </si>
  <si>
    <t>T8.02</t>
  </si>
  <si>
    <t>Select EVT/GPD exceedance threshold with justification</t>
  </si>
  <si>
    <t>T8.03</t>
  </si>
  <si>
    <t>Fit tail distribution and test threshold sensitivity</t>
  </si>
  <si>
    <t>T8.04</t>
  </si>
  <si>
    <t>Estimate EVT VaR and ES at high confidence</t>
  </si>
  <si>
    <t>T8.05</t>
  </si>
  <si>
    <t>Compare GARCH/EVT and baseline estimates side by side</t>
  </si>
  <si>
    <t>T8.06</t>
  </si>
  <si>
    <t>Record instability, model assumptions and sparse-tail caveats</t>
  </si>
  <si>
    <t>T9.01</t>
  </si>
  <si>
    <t>T9</t>
  </si>
  <si>
    <t>Risk budgeting</t>
  </si>
  <si>
    <t>Define marginal and component VaR methodology</t>
  </si>
  <si>
    <t>T9.02</t>
  </si>
  <si>
    <t>Estimate ETF-level marginal VaR and ES contributions</t>
  </si>
  <si>
    <t>02  Define environment, dependencies and setup commands</t>
  </si>
  <si>
    <t>T9.03</t>
  </si>
  <si>
    <t>Check contribution aggregation and approximations</t>
  </si>
  <si>
    <t>03  Agree on common model input/output conventions</t>
  </si>
  <si>
    <t>T9.04</t>
  </si>
  <si>
    <t>04  Agree date range, risk-free rate, benchmark and ETF universe</t>
  </si>
  <si>
    <t>Recommend position-size adjustments and rationale</t>
  </si>
  <si>
    <t>T10.01</t>
  </si>
  <si>
    <t>T10</t>
  </si>
  <si>
    <t>05  Record decisions, responsibility owners and review process</t>
  </si>
  <si>
    <t>Backtesting</t>
  </si>
  <si>
    <t>Define chronological out-of-sample rolling window</t>
  </si>
  <si>
    <t>Weeks 2–3</t>
  </si>
  <si>
    <t>T10.02</t>
  </si>
  <si>
    <t>Total subtasks</t>
  </si>
  <si>
    <t>Produce date-aligned VaR forecasts without look-ahead</t>
  </si>
  <si>
    <t>T10.03</t>
  </si>
  <si>
    <t>Count exceptions against the chosen confidence level</t>
  </si>
  <si>
    <t>Adjusted prices, aligned calendars, log returns, flagged (not deleted) outliers, ADF stationarity test, fully reproducible from code.</t>
  </si>
  <si>
    <t>T10.04</t>
  </si>
  <si>
    <t>Perform Kupiec unconditional coverage test</t>
  </si>
  <si>
    <t>01  Download adjusted prices for all seven allowed ETFs</t>
  </si>
  <si>
    <t>—</t>
  </si>
  <si>
    <t>T10.05</t>
  </si>
  <si>
    <t>Perform Christoffersen independence/coverage tests</t>
  </si>
  <si>
    <t>T10.06</t>
  </si>
  <si>
    <t>Apply Basel traffic light only for appropriate VaR settings</t>
  </si>
  <si>
    <t>T11.01</t>
  </si>
  <si>
    <t>T11</t>
  </si>
  <si>
    <t>Stress testing</t>
  </si>
  <si>
    <t>Define precise 2008, COVID 2020 and 2022 periods</t>
  </si>
  <si>
    <t>T11.02</t>
  </si>
  <si>
    <t>Recalculate portfolio performance in historical windows</t>
  </si>
  <si>
    <t>Overall progress</t>
  </si>
  <si>
    <t>T11.03</t>
  </si>
  <si>
    <t>Design one plausible hypothetical macro/market shock</t>
  </si>
  <si>
    <t>T11.04</t>
  </si>
  <si>
    <t>Estimate ETF reactions and document assumptions</t>
  </si>
  <si>
    <t>T11.05</t>
  </si>
  <si>
    <t>Summarize losses, vulnerabilities and possible adjustments</t>
  </si>
  <si>
    <t>T12.01</t>
  </si>
  <si>
    <t>T12</t>
  </si>
  <si>
    <t>Macro and industry risk analysis (optional)</t>
  </si>
  <si>
    <t>Identify the important rates, inflation, oil and geopolitical exposures</t>
  </si>
  <si>
    <t>Week 3</t>
  </si>
  <si>
    <t>T12.02</t>
  </si>
  <si>
    <t>Research ETF sensitivity to recession and policy shocks</t>
  </si>
  <si>
    <t>T12.03</t>
  </si>
  <si>
    <t>Connect industry exposures with the chosen shock scenario</t>
  </si>
  <si>
    <t>T12.04</t>
  </si>
  <si>
    <t>Write macro-risk notes for the report and stress test</t>
  </si>
  <si>
    <t>T13.01</t>
  </si>
  <si>
    <t>T13</t>
  </si>
  <si>
    <t>Innovation extension</t>
  </si>
  <si>
    <t>Choose one additional model and state a testable hypothesis</t>
  </si>
  <si>
    <t>T13.02</t>
  </si>
  <si>
    <t>Specify the method and baseline comparison fairly</t>
  </si>
  <si>
    <t>T13.03</t>
  </si>
  <si>
    <t>Implement innovation without future-data leakage</t>
  </si>
  <si>
    <t>QUANTEDGE 1.0 — WORKBOOK GUIDE</t>
  </si>
  <si>
    <t>T13.04</t>
  </si>
  <si>
    <t>How to track the project and coordinate with Google Sheets, Drive, GitHub and Calendar.</t>
  </si>
  <si>
    <t>Backtest innovation and compare standalone methods</t>
  </si>
  <si>
    <t>HOW TO USE</t>
  </si>
  <si>
    <t>T13.05</t>
  </si>
  <si>
    <t>INSTRUCTIONS</t>
  </si>
  <si>
    <t>Report gains, failures, limitations and overfitting concerns</t>
  </si>
  <si>
    <t>REVIEW FIRST — CORE DELIVERABLES</t>
  </si>
  <si>
    <t>1. Assign real people</t>
  </si>
  <si>
    <t>T14.01</t>
  </si>
  <si>
    <t>T14</t>
  </si>
  <si>
    <t>Streamlit app</t>
  </si>
  <si>
    <t>Owners: Malindu — lead, app, reports and integration; Raveena — data cleaning and KPIs; Dewmini — portfolio construction; Sujan — client mandate and risk estimation. Backtesting, stress testing and validation/decision — all members.</t>
  </si>
  <si>
    <t>Build sidebar: confidence 90/95/99, method and backtest dates</t>
  </si>
  <si>
    <t>Core task</t>
  </si>
  <si>
    <t>2. Manage main tasks</t>
  </si>
  <si>
    <t>Main Tasks sheet lists all 19 tasks and their required outputs. The Needs column is intentionally omitted.</t>
  </si>
  <si>
    <t>T14.02</t>
  </si>
  <si>
    <t>3. Update detailed work</t>
  </si>
  <si>
    <t>Deadline</t>
  </si>
  <si>
    <t>Build ETF weights and cumulative return portfolio panel</t>
  </si>
  <si>
    <t>In Subtasks, select Not Started / In Progress / Blocked / In Review / Done for each row.</t>
  </si>
  <si>
    <t>4. Watch automatic progress</t>
  </si>
  <si>
    <t>T14.03</t>
  </si>
  <si>
    <t>Main Tasks Progress is calculated from the fraction of subtasks marked Done; Dashboard summarizes counts.</t>
  </si>
  <si>
    <t>Add drawdown figure and KPI section</t>
  </si>
  <si>
    <t>5. Define real dates</t>
  </si>
  <si>
    <t>The sheet shows relative Week 1–3 labels. Actual due dates are empty until you choose a project start/submission deadline.</t>
  </si>
  <si>
    <t>6. Choose project tooling</t>
  </si>
  <si>
    <t>T14.04</t>
  </si>
  <si>
    <t>Google Sheets = tracker; Google Drive = shared project folder; GitHub = code; Calendar = demos and deadline milestones.</t>
  </si>
  <si>
    <t>Create VaR/ES/EVT side-by-side risk dashboard</t>
  </si>
  <si>
    <t>7. Upload to Google</t>
  </si>
  <si>
    <t>In Google Drive: New → File upload → select this XLSX → Open with Google Sheets → Save as Google Sheets.</t>
  </si>
  <si>
    <t>8. Share collaboration</t>
  </si>
  <si>
    <t>T14.05</t>
  </si>
  <si>
    <t>Share the resulting Google Sheet with all team members as Editors, or assign other permission levels if needed.</t>
  </si>
  <si>
    <t>9. Weekly reviews</t>
  </si>
  <si>
    <t>Build backtesting results and traffic-light panel</t>
  </si>
  <si>
    <t>Hold a short team check-in to review blocked tasks and complete evidence links; avoid updating progress by gut feeling.</t>
  </si>
  <si>
    <t>10. Competition condition</t>
  </si>
  <si>
    <t>T19 pitch and Q&amp;A is conditional on reaching the final five. Macro and innovation tasks are optional.</t>
  </si>
  <si>
    <t>11. Risk estimates</t>
  </si>
  <si>
    <t>VaR and ES are risk measures; GARCH and EVT change how those estimates are produced, not what they mean.</t>
  </si>
  <si>
    <t>12. Evidence / links</t>
  </si>
  <si>
    <t>Attach PR links, notebook outputs, screenshots or report drafts directly in Notes/Links and Evidence/Link.</t>
  </si>
  <si>
    <t>T14.06</t>
  </si>
  <si>
    <t>Build historical/hypothetical stress visualization</t>
  </si>
  <si>
    <t>T14.07</t>
  </si>
  <si>
    <t>Add Assumptions page and test app interactions</t>
  </si>
  <si>
    <t>T15.01</t>
  </si>
  <si>
    <t>T15</t>
  </si>
  <si>
    <t>Assumptions and Limitations</t>
  </si>
  <si>
    <t>Document data universe, dates, sourcing and limitations</t>
  </si>
  <si>
    <t>Raveena + Dewmini</t>
  </si>
  <si>
    <t>T16</t>
  </si>
  <si>
    <t>T15.02</t>
  </si>
  <si>
    <t>Written deliverables</t>
  </si>
  <si>
    <t>Explain distribution, volatility and dependence assumptions</t>
  </si>
  <si>
    <t>T17</t>
  </si>
  <si>
    <t>Repository and reproducibility</t>
  </si>
  <si>
    <t>T18</t>
  </si>
  <si>
    <t>AI disclosure and validation log</t>
  </si>
  <si>
    <t>T15.03</t>
  </si>
  <si>
    <t>Explain unseen shocks, low liquidity and tail-data scarcity</t>
  </si>
  <si>
    <t>No task deadlines have been invented. Fill due dates after the team approves a real calendar.</t>
  </si>
  <si>
    <t>T15.04</t>
  </si>
  <si>
    <t>Clarify what backtesting can and cannot establish</t>
  </si>
  <si>
    <t>T15.05</t>
  </si>
  <si>
    <t>Ensure app and report state identical assumptions</t>
  </si>
  <si>
    <t>T16.01</t>
  </si>
  <si>
    <t>Outline 7–15 page technical report based on actual results</t>
  </si>
  <si>
    <t>T16.02</t>
  </si>
  <si>
    <t>Complete methods, evidence, tests and limitations writeup</t>
  </si>
  <si>
    <t>T16.03</t>
  </si>
  <si>
    <t>Create concise one-page portfolio tear sheet</t>
  </si>
  <si>
    <t>T16.04</t>
  </si>
  <si>
    <t>Write one-page investment committee decision memo</t>
  </si>
  <si>
    <t>T16.05</t>
  </si>
  <si>
    <t>Cross-check all numbers between report, memo and app</t>
  </si>
  <si>
    <t>T17.01</t>
  </si>
  <si>
    <t>Finalize organized, documented GitHub repository</t>
  </si>
  <si>
    <t>T17.02</t>
  </si>
  <si>
    <t>Core ★</t>
  </si>
  <si>
    <t>Pin package versions and supply reproducible setup</t>
  </si>
  <si>
    <t>T17.03</t>
  </si>
  <si>
    <t>Provide one-command Streamlit run instructions</t>
  </si>
  <si>
    <t>T17.04</t>
  </si>
  <si>
    <t>Test clean installation and reproduce key results</t>
  </si>
  <si>
    <t>T17.05</t>
  </si>
  <si>
    <t>Log reproducibility evidence and known environment issues</t>
  </si>
  <si>
    <t>T18.01</t>
  </si>
  <si>
    <t>Keep a running list of AI tools and their purposes</t>
  </si>
  <si>
    <t>T18.02</t>
  </si>
  <si>
    <t>Record which code, figures or text used AI assistance</t>
  </si>
  <si>
    <t>T18.03</t>
  </si>
  <si>
    <t>Document manual verification, corrections and tests</t>
  </si>
  <si>
    <t>T18.04</t>
  </si>
  <si>
    <t>Review completeness of the log before submission</t>
  </si>
  <si>
    <t>T19.01</t>
  </si>
  <si>
    <t>Pitch and Q&amp;A prep</t>
  </si>
  <si>
    <t>Create a 10–12 minute presentation storyline and deck</t>
  </si>
  <si>
    <t>If finalist</t>
  </si>
  <si>
    <t>T19.02</t>
  </si>
  <si>
    <t>Assign presenters and rehearse timing</t>
  </si>
  <si>
    <t>T19.03</t>
  </si>
  <si>
    <t>Prepare judges’ Q&amp;A on assumptions, VaR and crisis results</t>
  </si>
  <si>
    <t>T19.04</t>
  </si>
  <si>
    <t>Run mock Q&amp;A and refine explanations</t>
  </si>
  <si>
    <t>02  Document data source, download date and adjustment choices</t>
  </si>
  <si>
    <t>03  Align calendars, missing observations and common sample</t>
  </si>
  <si>
    <t>04  Calculate daily log returns and verify computations</t>
  </si>
  <si>
    <t>05  Flag potential outliers without automatically deleting them</t>
  </si>
  <si>
    <t>06  Run ADF tests and export reproducible clean datasets</t>
  </si>
  <si>
    <t>Investment horizon, return objective, risk constraints (VaR/ES/drawdown limits), why it suits a conservative client.</t>
  </si>
  <si>
    <t>01  Define endowment horizon, investment purpose and liquidity needs</t>
  </si>
  <si>
    <t>02  Propose justified return and inflation-protection objectives</t>
  </si>
  <si>
    <t>03  Set no-short-selling, allocation caps and risk-budget rules</t>
  </si>
  <si>
    <t>04  Propose VaR, ES and drawdown tolerances</t>
  </si>
  <si>
    <t>05  Document assumptions and secure team agreement</t>
  </si>
  <si>
    <t>Markowitz and CAPM, three candidate portfolios, constraints, comparison, final weights with justification.</t>
  </si>
  <si>
    <t>01  Estimate training returns, covariance matrix and correlations</t>
  </si>
  <si>
    <t>02  Implement constrained minimum-variance allocation</t>
  </si>
  <si>
    <t>03  Implement risk-parity allocation</t>
  </si>
  <si>
    <t>04  Implement capped maximum-Sharpe allocation</t>
  </si>
  <si>
    <t>05  Document Markowitz/CAPM concepts and benchmark assumptions</t>
  </si>
  <si>
    <t>06  Compare diversification, concentration and feasible weights</t>
  </si>
  <si>
    <t>07  Provide candidate and proposed final weights with justification</t>
  </si>
  <si>
    <t>Sharpe, Sortino, Treynor, Jensen’s alpha, Information Ratio, max drawdown, Calmar, compared with benchmarks.</t>
  </si>
  <si>
    <t>01  Implement Sharpe and Sortino metrics consistently</t>
  </si>
  <si>
    <t>02  Compute Treynor and Jensen alpha with market benchmark</t>
  </si>
  <si>
    <t>03  Compute Information Ratio against agreed benchmark</t>
  </si>
  <si>
    <t>04  Compute maximum drawdown and Calmar ratio</t>
  </si>
  <si>
    <t>05  Prepare comparative KPI and benchmark results</t>
  </si>
  <si>
    <t>Historical, Parametric and Monte Carlo at 95% and 99%, plus a written explanation of where and why they disagree.</t>
  </si>
  <si>
    <t>01  Fix portfolio losses convention and risk horizon</t>
  </si>
  <si>
    <t>02  Implement Historical VaR at 95% and 99%</t>
  </si>
  <si>
    <t>03  Implement Parametric VaR at 95% and 99%</t>
  </si>
  <si>
    <t>04  Implement Monte Carlo VaR at 95% and 99%</t>
  </si>
  <si>
    <t>05  Compare all methods on identical portfolios and windows</t>
  </si>
  <si>
    <t>06  Explain disagreements under calm and stressed conditions</t>
  </si>
  <si>
    <t>ES at the same confidence levels, with the rationale for using it besides VaR.</t>
  </si>
  <si>
    <t>01  Compute Historical ES at 95% and 99%</t>
  </si>
  <si>
    <t>02  Compute ES from Parametric and Monte Carlo approaches</t>
  </si>
  <si>
    <t>03  Compare corresponding VaR and ES outcomes</t>
  </si>
  <si>
    <t>04  Explain expected tail losses and data limitations</t>
  </si>
  <si>
    <t>GPD tail fit, a justified threshold choice, EVT-based VaR/ES, compared side by side with baseline VaR and ES; GARCH volatility modeling.</t>
  </si>
  <si>
    <t>01  Implement and diagnose conditional volatility (GARCH)</t>
  </si>
  <si>
    <t>02  Select EVT/GPD exceedance threshold with justification</t>
  </si>
  <si>
    <t>03  Fit tail distribution and test threshold sensitivity</t>
  </si>
  <si>
    <t>04  Estimate EVT VaR and ES at high confidence</t>
  </si>
  <si>
    <t>05  Compare GARCH/EVT and baseline estimates side by side</t>
  </si>
  <si>
    <t>06  Record instability, model assumptions and sparse-tail caveats</t>
  </si>
  <si>
    <t>Marginal and component VaR/ES per ETF, used to adjust position sizes.</t>
  </si>
  <si>
    <t>01  Define marginal and component VaR methodology</t>
  </si>
  <si>
    <t>02  Estimate ETF-level marginal VaR and ES contributions</t>
  </si>
  <si>
    <t>03  Check contribution aggregation and approximations</t>
  </si>
  <si>
    <t>04  Recommend position-size adjustments and rationale</t>
  </si>
  <si>
    <t>Out-of-sample rolling test of the chosen VaR model: Kupiec, Christoffersen, Basel traffic light.</t>
  </si>
  <si>
    <t>01  Define chronological out-of-sample rolling window</t>
  </si>
  <si>
    <t>02  Produce date-aligned VaR forecasts without look-ahead</t>
  </si>
  <si>
    <t>03  Count exceptions against the chosen confidence level</t>
  </si>
  <si>
    <t>04  Perform Kupiec unconditional coverage test</t>
  </si>
  <si>
    <t>05  Perform Christoffersen independence/coverage tests</t>
  </si>
  <si>
    <t>06  Apply Basel traffic light only for appropriate VaR settings</t>
  </si>
  <si>
    <t>Portfolio impact in 2008, COVID 2020 and 2022, plus one hypothetical scenario we design.</t>
  </si>
  <si>
    <t>01  Define precise 2008, COVID 2020 and 2022 periods</t>
  </si>
  <si>
    <t>02  Recalculate portfolio performance in historical windows</t>
  </si>
  <si>
    <t>03  Design one plausible hypothetical macro/market shock</t>
  </si>
  <si>
    <t>04  Estimate ETF reactions and document assumptions</t>
  </si>
  <si>
    <t>05  Summarize losses, vulnerabilities and possible adjustments</t>
  </si>
  <si>
    <t>Key macro risks (rates, inflation, oil, geopolitics) and their impact on the portfolio, feeding the hypothetical scenario.</t>
  </si>
  <si>
    <t>01  Identify the important rates, inflation, oil and geopolitical exposures</t>
  </si>
  <si>
    <t>Optional</t>
  </si>
  <si>
    <t>02  Research ETF sensitivity to recession and policy shocks</t>
  </si>
  <si>
    <t>03  Connect industry exposures with the chosen shock scenario</t>
  </si>
  <si>
    <t>04  Write macro-risk notes for the report and stress test</t>
  </si>
  <si>
    <t>One well-justified extra (e.g. regime blend, GARCH-EVT, multi-scale correlation).</t>
  </si>
  <si>
    <t>01  Choose one additional model and state a testable hypothesis</t>
  </si>
  <si>
    <t>02  Specify the method and baseline comparison fairly</t>
  </si>
  <si>
    <t>03  Implement innovation without future-data leakage</t>
  </si>
  <si>
    <t>04  Backtest innovation and compare standalone methods</t>
  </si>
  <si>
    <t>05  Report gains, failures, limitations and overfitting concerns</t>
  </si>
  <si>
    <t>Sidebar (confidence 90/95/99, VaR method, backtest dates), portfolio panel (weights, cumulative return, drawdown), risk dashboard (VaR, ES, EVT side by side), backtest panel with traffic light, stress panel, Assumptions page.</t>
  </si>
  <si>
    <t>01  Build sidebar: confidence 90/95/99, method and backtest dates</t>
  </si>
  <si>
    <t>02  Build ETF weights and cumulative return portfolio panel</t>
  </si>
  <si>
    <t>03  Add drawdown figure and KPI section</t>
  </si>
  <si>
    <t>04  Create VaR/ES/EVT side-by-side risk dashboard</t>
  </si>
  <si>
    <t>05  Build backtesting results and traffic-light panel</t>
  </si>
  <si>
    <t>06  Build historical/hypothetical stress visualization</t>
  </si>
  <si>
    <t>07  Add Assumptions page and test app interactions</t>
  </si>
  <si>
    <t>A plain-language page in the app and a section in the report, stating what the model does not capture.</t>
  </si>
  <si>
    <t>01  Document data universe, dates, sourcing and limitations</t>
  </si>
  <si>
    <t>02  Explain distribution, volatility and dependence assumptions</t>
  </si>
  <si>
    <t>03  Explain unseen shocks, low liquidity and tail-data scarcity</t>
  </si>
  <si>
    <t>04  Clarify what backtesting can and cannot establish</t>
  </si>
  <si>
    <t>05  Ensure app and report state identical assumptions</t>
  </si>
  <si>
    <t>Technical report (7 to 15 pages), one-page tear sheet, one-page investment committee memo (accept, adjust the risk limit, or reject).</t>
  </si>
  <si>
    <t>01  Outline 7–15 page technical report based on actual results</t>
  </si>
  <si>
    <t>02  Complete methods, evidence, tests and limitations writeup</t>
  </si>
  <si>
    <t>03  Create concise one-page portfolio tear sheet</t>
  </si>
  <si>
    <t>04  Write one-page investment committee decision memo</t>
  </si>
  <si>
    <t>05  Cross-check all numbers between report, memo and app</t>
  </si>
  <si>
    <t>Documented GitHub repo, README, app runs with one command, tested on a clean computer.</t>
  </si>
  <si>
    <t>01  Finalize organized, documented GitHub repository</t>
  </si>
  <si>
    <t>02  Pin package versions and supply reproducible setup</t>
  </si>
  <si>
    <t>03  Provide one-command Streamlit run instructions</t>
  </si>
  <si>
    <t>04  Test clean installation and reproduce key results</t>
  </si>
  <si>
    <t>05  Log reproducibility evidence and known environment issues</t>
  </si>
  <si>
    <t>Table of AI tools used, purpose, how we checked the output, and which parts were AI-generated.</t>
  </si>
  <si>
    <t>01  Keep a running list of AI tools and their purposes</t>
  </si>
  <si>
    <t>02  Record which code, figures or text used AI assistance</t>
  </si>
  <si>
    <t>03  Document manual verification, corrections and tests</t>
  </si>
  <si>
    <t>04  Review completeness of the log before submission</t>
  </si>
  <si>
    <t>10 to 12 minute deck, plus practice answering judges’ questions (only if we reach the final 5).</t>
  </si>
  <si>
    <t>01  Create a 10–12 minute presentation storyline and deck</t>
  </si>
  <si>
    <t>Conditional</t>
  </si>
  <si>
    <t>02  Assign presenters and rehearse timing</t>
  </si>
  <si>
    <t>03  Prepare judges’ Q&amp;A on assumptions, VaR and crisis results</t>
  </si>
  <si>
    <t>04  Run mock Q&amp;A and refine explanations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</si>
</sst>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1">
    <font>
      <sz val="11.0"/>
      <color rgb="FF000000"/>
      <name val="Carlito"/>
      <scheme val="minor"/>
    </font>
    <font>
      <b/>
      <sz val="19.0"/>
      <color rgb="FFFFFFFF"/>
      <name val="Carlito"/>
    </font>
    <font>
      <sz val="11.0"/>
      <color rgb="FF1D3249"/>
      <name val="Carlito"/>
    </font>
    <font>
      <b/>
      <sz val="11.0"/>
      <color rgb="FFFFFFFF"/>
      <name val="Carlito"/>
    </font>
    <font>
      <b/>
      <sz val="11.0"/>
      <color rgb="FF1D3249"/>
      <name val="Carlito"/>
    </font>
    <font>
      <sz val="11.0"/>
      <color theme="1"/>
      <name val="Carlito"/>
    </font>
    <font>
      <b/>
      <sz val="10.0"/>
      <color rgb="FF2465A1"/>
      <name val="Carlito"/>
    </font>
    <font>
      <sz val="10.0"/>
      <color rgb="FF1D3249"/>
      <name val="Carlito"/>
    </font>
    <font>
      <b/>
      <sz val="15.0"/>
      <color rgb="FF2465A1"/>
      <name val="Carlito"/>
    </font>
    <font>
      <color theme="1"/>
      <name val="Carlito"/>
      <scheme val="minor"/>
    </font>
    <font>
      <b/>
      <sz val="12.0"/>
      <color rgb="FFFFFFFF"/>
      <name val="Carlito"/>
    </font>
  </fonts>
  <fills count="10">
    <fill>
      <patternFill patternType="none"/>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borderId="0" fillId="0" fontId="0" numFmtId="0" applyAlignment="1" applyFont="1"/>
  </cellStyleXfs>
  <cellXfs count="36">
    <xf borderId="0" fillId="0" fontId="0" numFmtId="0" xfId="0" applyAlignment="1" applyFont="1">
      <alignment readingOrder="0" shrinkToFit="0" vertical="bottom" wrapText="0"/>
    </xf>
    <xf borderId="0" fillId="2" fontId="1" numFmtId="0" xfId="0" applyAlignment="1" applyFill="1" applyFont="1">
      <alignment vertical="center"/>
    </xf>
    <xf borderId="0" fillId="3" fontId="2" numFmtId="0" xfId="0" applyAlignment="1" applyFill="1" applyFont="1">
      <alignment readingOrder="0" vertical="center"/>
    </xf>
    <xf borderId="0" fillId="2" fontId="3" numFmtId="0" xfId="0" applyAlignment="1" applyFill="1" applyFont="1">
      <alignment shrinkToFit="0" vertical="center" wrapText="1"/>
    </xf>
    <xf borderId="0" fillId="0" fontId="4" numFmtId="0" xfId="0" applyFont="1"/>
    <xf borderId="0" fillId="3" fontId="2" numFmtId="0" xfId="0" applyAlignment="1" applyFill="1" applyFont="1">
      <alignment vertical="center"/>
    </xf>
    <xf borderId="0" fillId="0" fontId="5" numFmtId="0" xfId="0" applyAlignment="1" applyFont="1">
      <alignment shrinkToFit="0" vertical="center" wrapText="1"/>
    </xf>
    <xf borderId="0" fillId="0" fontId="5" numFmtId="0" xfId="0" applyAlignment="1" applyFont="1">
      <alignment readingOrder="0" shrinkToFit="0" vertical="center" wrapText="1"/>
    </xf>
    <xf borderId="0" fillId="0" fontId="6" numFmtId="0" xfId="0" applyAlignment="1" applyFont="1">
      <alignment shrinkToFit="0" vertical="center" wrapText="1"/>
    </xf>
    <xf borderId="0" fillId="0" fontId="7" numFmtId="0" xfId="0" applyAlignment="1" applyFont="1">
      <alignment shrinkToFit="0" vertical="center" wrapText="1"/>
    </xf>
    <xf borderId="0" fillId="2" fontId="3" numFmtId="0" xfId="0" applyFill="1" applyFont="1"/>
    <xf borderId="0" fillId="3" fontId="5" numFmtId="0" xfId="0" applyAlignment="1" applyFill="1" applyFont="1">
      <alignment shrinkToFit="0" wrapText="1"/>
    </xf>
    <xf borderId="0" fillId="3" fontId="8" numFmtId="0" xfId="0" applyAlignment="1" applyFill="1" applyFont="1">
      <alignment vertical="center"/>
    </xf>
    <xf borderId="0" fillId="0" fontId="9" numFmtId="0" xfId="0" applyFont="1"/>
    <xf borderId="0" fillId="0" fontId="7" numFmtId="164" xfId="0" applyAlignment="1" applyFont="1" applyNumberFormat="1">
      <alignment shrinkToFit="0" vertical="center" wrapText="1"/>
    </xf>
    <xf borderId="0" fillId="4" fontId="3" numFmtId="0" xfId="0" applyAlignment="1" applyFill="1" applyFont="1">
      <alignment shrinkToFit="0" vertical="center" wrapText="1"/>
    </xf>
    <xf borderId="0" fillId="0" fontId="7" numFmtId="0" xfId="0" applyAlignment="1" applyFont="1">
      <alignment readingOrder="0" shrinkToFit="0" vertical="center" wrapText="1"/>
    </xf>
    <xf borderId="0" fillId="5" fontId="6" numFmtId="0" xfId="0" applyAlignment="1" applyFill="1" applyFont="1">
      <alignment shrinkToFit="0" vertical="center" wrapText="1"/>
    </xf>
    <xf borderId="0" fillId="5" fontId="7" numFmtId="0" xfId="0" applyAlignment="1" applyFill="1" applyFont="1">
      <alignment shrinkToFit="0" vertical="center" wrapText="1"/>
    </xf>
    <xf borderId="0" fillId="6" fontId="7" numFmtId="0" xfId="0" applyAlignment="1" applyFill="1" applyFont="1">
      <alignment shrinkToFit="0" vertical="center" wrapText="1"/>
    </xf>
    <xf borderId="0" fillId="5" fontId="7" numFmtId="9" xfId="0" applyAlignment="1" applyFill="1" applyFont="1" applyNumberFormat="1">
      <alignment shrinkToFit="0" vertical="center" wrapText="1"/>
    </xf>
    <xf borderId="0" fillId="5" fontId="7" numFmtId="164" xfId="0" applyAlignment="1" applyFill="1" applyFont="1" applyNumberFormat="1">
      <alignment shrinkToFit="0" vertical="center" wrapText="1"/>
    </xf>
    <xf borderId="0" fillId="7" fontId="6" numFmtId="0" xfId="0" applyAlignment="1" applyFill="1" applyFont="1">
      <alignment shrinkToFit="0" vertical="center" wrapText="1"/>
    </xf>
    <xf borderId="0" fillId="7" fontId="7" numFmtId="0" xfId="0" applyAlignment="1" applyFill="1" applyFont="1">
      <alignment shrinkToFit="0" vertical="center" wrapText="1"/>
    </xf>
    <xf borderId="0" fillId="8" fontId="7" numFmtId="0" xfId="0" applyAlignment="1" applyFill="1" applyFont="1">
      <alignment shrinkToFit="0" vertical="center" wrapText="1"/>
    </xf>
    <xf borderId="0" fillId="3" fontId="8" numFmtId="9" xfId="0" applyAlignment="1" applyFill="1" applyFont="1" applyNumberFormat="1">
      <alignment vertical="center"/>
    </xf>
    <xf borderId="0" fillId="2" fontId="10" numFmtId="0" xfId="0" applyFill="1" applyFont="1"/>
    <xf borderId="0" fillId="2" fontId="3" numFmtId="0" xfId="0" applyAlignment="1" applyFill="1" applyFont="1">
      <alignment readingOrder="0" shrinkToFit="0" vertical="center" wrapText="1"/>
    </xf>
    <xf borderId="0" fillId="0" fontId="5" numFmtId="0" xfId="0" applyAlignment="1" applyFont="1">
      <alignment shrinkToFit="0" wrapText="1"/>
    </xf>
    <xf borderId="0" fillId="9" fontId="2" numFmtId="0" xfId="0" applyFill="1" applyFont="1"/>
    <xf borderId="0" fillId="7" fontId="7" numFmtId="9" xfId="0" applyAlignment="1" applyFill="1" applyFont="1" applyNumberFormat="1">
      <alignment shrinkToFit="0" vertical="center" wrapText="1"/>
    </xf>
    <xf borderId="0" fillId="7" fontId="7" numFmtId="164" xfId="0" applyAlignment="1" applyFill="1" applyFont="1" applyNumberFormat="1">
      <alignment shrinkToFit="0" vertical="center" wrapText="1"/>
    </xf>
    <xf borderId="0" fillId="8" fontId="5" numFmtId="0" xfId="0" applyAlignment="1" applyFill="1" applyFont="1">
      <alignment shrinkToFit="0" vertical="center" wrapText="1"/>
    </xf>
    <xf borderId="0" fillId="5" fontId="5" numFmtId="0" xfId="0" applyAlignment="1" applyFill="1" applyFont="1">
      <alignment shrinkToFit="0" vertical="center" wrapText="1"/>
    </xf>
    <xf borderId="0" fillId="6" fontId="5" numFmtId="0" xfId="0" applyAlignment="1" applyFill="1" applyFont="1">
      <alignment shrinkToFit="0" vertical="center" wrapText="1"/>
    </xf>
    <xf borderId="0" fillId="7" fontId="5" numFmtId="0" xfId="0" applyAlignment="1" applyFill="1" applyFont="1">
      <alignment shrinkToFit="0" vertical="center" wrapText="1"/>
    </xf>
  </cellXfs>
  <cellStyles count="1">
    <cellStyle xfId="0" name="Normal"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21.0"/>
    <col customWidth="1" min="2" max="2" width="29.0"/>
    <col customWidth="1" min="3" max="3" width="20.0"/>
    <col customWidth="1" min="4" max="4" width="37.0"/>
    <col customWidth="1" min="5" max="7" width="17.0"/>
    <col customWidth="1" min="8" max="10" width="18.0"/>
    <col customWidth="1" min="11" max="26" width="8.63"/>
  </cols>
  <sheetData>
    <row r="1" ht="45.0" customHeight="1">
      <c r="A1" s="1" t="s">
        <v>0</v>
      </c>
    </row>
    <row r="2" ht="28.5" customHeight="1">
      <c r="A2" s="2" t="s">
        <v>1</v>
      </c>
    </row>
    <row r="4" ht="30.75" customHeight="1">
      <c r="A4" s="3" t="s">
        <v>4</v>
      </c>
      <c r="B4" s="3" t="s">
        <v>5</v>
      </c>
      <c r="D4" s="3" t="s">
        <v>6</v>
      </c>
      <c r="E4" s="3" t="s">
        <v>9</v>
      </c>
      <c r="F4" s="3" t="s">
        <v>10</v>
      </c>
      <c r="G4" s="3" t="s">
        <v>11</v>
      </c>
    </row>
    <row r="5" ht="31.5" customHeight="1">
      <c r="A5" s="4" t="s">
        <v>12</v>
      </c>
      <c r="B5" s="12">
        <f>COUNTA('Main Tasks'!$A$5:$A$102)</f>
        <v>19</v>
      </c>
      <c r="D5" s="13" t="s">
        <v>57</v>
      </c>
      <c r="E5" s="13">
        <f>COUNTIF('Main Tasks'!$E$5:$E$102,D5)</f>
        <v>6</v>
      </c>
      <c r="F5" s="13">
        <f>COUNTIFS('Main Tasks'!$E$5:$E$102,D5,'Main Tasks'!$G$5:$G$102,"Done")</f>
        <v>0</v>
      </c>
      <c r="G5" s="13">
        <f>COUNTIFS('Main Tasks'!$E$5:$E$102,D5,'Main Tasks'!$G$5:$G$102,"Blocked")</f>
        <v>0</v>
      </c>
    </row>
    <row r="6" ht="31.5" customHeight="1">
      <c r="A6" s="4" t="s">
        <v>85</v>
      </c>
      <c r="B6" s="12">
        <f>COUNTIF('Main Tasks'!$G$5:$G$102,"Done")</f>
        <v>0</v>
      </c>
      <c r="D6" s="13" t="s">
        <v>73</v>
      </c>
      <c r="E6" s="13">
        <f>COUNTIF('Main Tasks'!$E$5:$E$102,D6)</f>
        <v>3</v>
      </c>
      <c r="F6" s="13">
        <f>COUNTIFS('Main Tasks'!$E$5:$E$102,D6,'Main Tasks'!$G$5:$G$102,"Done")</f>
        <v>0</v>
      </c>
      <c r="G6" s="13">
        <f>COUNTIFS('Main Tasks'!$E$5:$E$102,D6,'Main Tasks'!$G$5:$G$102,"Blocked")</f>
        <v>0</v>
      </c>
    </row>
    <row r="7" ht="31.5" customHeight="1">
      <c r="A7" s="4" t="s">
        <v>102</v>
      </c>
      <c r="B7" s="12">
        <f>COUNTIF('Main Tasks'!$G$5:$G$102,"In Progress")</f>
        <v>0</v>
      </c>
      <c r="D7" s="13" t="s">
        <v>107</v>
      </c>
      <c r="E7" s="13">
        <f>COUNTIF('Main Tasks'!$E$5:$E$102,D7)</f>
        <v>2</v>
      </c>
      <c r="F7" s="13">
        <f>COUNTIFS('Main Tasks'!$E$5:$E$102,D7,'Main Tasks'!$G$5:$G$102,"Done")</f>
        <v>0</v>
      </c>
      <c r="G7" s="13">
        <f>COUNTIFS('Main Tasks'!$E$5:$E$102,D7,'Main Tasks'!$G$5:$G$102,"Blocked")</f>
        <v>0</v>
      </c>
    </row>
    <row r="8" ht="31.5" customHeight="1">
      <c r="A8" s="4" t="s">
        <v>121</v>
      </c>
      <c r="B8" s="12">
        <f>COUNTIF('Main Tasks'!$G$5:$G$102,"Blocked")</f>
        <v>0</v>
      </c>
      <c r="D8" s="13" t="s">
        <v>95</v>
      </c>
      <c r="E8" s="13">
        <f>COUNTIF('Main Tasks'!$E$5:$E$102,D8)</f>
        <v>6</v>
      </c>
      <c r="F8" s="13">
        <f>COUNTIFS('Main Tasks'!$E$5:$E$102,D8,'Main Tasks'!$G$5:$G$102,"Done")</f>
        <v>0</v>
      </c>
      <c r="G8" s="13">
        <f>COUNTIFS('Main Tasks'!$E$5:$E$102,D8,'Main Tasks'!$G$5:$G$102,"Blocked")</f>
        <v>0</v>
      </c>
    </row>
    <row r="9" ht="31.5" customHeight="1">
      <c r="A9" s="4" t="s">
        <v>137</v>
      </c>
      <c r="B9" s="12">
        <f>COUNTIF(Subtasks!$F$5:$F$102,"Done")</f>
        <v>6</v>
      </c>
      <c r="D9" s="13" t="s">
        <v>40</v>
      </c>
      <c r="E9" s="13">
        <f>COUNTIF('Main Tasks'!$E$5:$E$102,D9)</f>
        <v>1</v>
      </c>
      <c r="F9" s="13">
        <f>COUNTIFS('Main Tasks'!$E$5:$E$102,D9,'Main Tasks'!$G$5:$G$102,"Done")</f>
        <v>0</v>
      </c>
      <c r="G9" s="13">
        <f>COUNTIFS('Main Tasks'!$E$5:$E$102,D9,'Main Tasks'!$G$5:$G$102,"Blocked")</f>
        <v>0</v>
      </c>
    </row>
    <row r="10" ht="31.5" customHeight="1">
      <c r="A10" s="4" t="s">
        <v>198</v>
      </c>
      <c r="B10" s="12">
        <f>COUNTA(Subtasks!$A$5:$A$102)</f>
        <v>98</v>
      </c>
      <c r="D10" s="13" t="s">
        <v>206</v>
      </c>
      <c r="E10" s="13">
        <f>COUNTIF('Main Tasks'!$E$5:$E$102,D10)</f>
        <v>0</v>
      </c>
      <c r="F10" s="13">
        <f>COUNTIFS('Main Tasks'!$E$5:$E$102,D10,'Main Tasks'!$G$5:$G$102,"Done")</f>
        <v>0</v>
      </c>
      <c r="G10" s="13">
        <f>COUNTIFS('Main Tasks'!$E$5:$E$102,D10,'Main Tasks'!$G$5:$G$102,"Blocked")</f>
        <v>0</v>
      </c>
    </row>
    <row r="11" ht="31.5" customHeight="1">
      <c r="A11" s="4" t="s">
        <v>217</v>
      </c>
      <c r="B11" s="25">
        <f>IFERROR(B9/B10,0)</f>
        <v>0.0612244898</v>
      </c>
      <c r="D11" s="13" t="s">
        <v>206</v>
      </c>
      <c r="E11" s="13">
        <f>COUNTIF('Main Tasks'!$E$5:$E$102,D11)</f>
        <v>0</v>
      </c>
      <c r="F11" s="13">
        <f>COUNTIFS('Main Tasks'!$E$5:$E$102,D11,'Main Tasks'!$G$5:$G$102,"Done")</f>
        <v>0</v>
      </c>
      <c r="G11" s="13">
        <f>COUNTIFS('Main Tasks'!$E$5:$E$102,D11,'Main Tasks'!$G$5:$G$102,"Blocked")</f>
        <v>0</v>
      </c>
    </row>
    <row r="14" ht="27.75" customHeight="1">
      <c r="A14" s="26" t="s">
        <v>251</v>
      </c>
    </row>
    <row r="15" ht="30.75" customHeight="1">
      <c r="A15" s="3" t="s">
        <v>17</v>
      </c>
      <c r="B15" s="3" t="s">
        <v>258</v>
      </c>
      <c r="C15" s="3" t="s">
        <v>22</v>
      </c>
      <c r="D15" s="27" t="s">
        <v>263</v>
      </c>
    </row>
    <row r="16" ht="28.5" customHeight="1">
      <c r="A16" s="28" t="s">
        <v>70</v>
      </c>
      <c r="B16" s="28" t="s">
        <v>71</v>
      </c>
      <c r="C16" s="28" t="s">
        <v>73</v>
      </c>
      <c r="D16" s="28"/>
    </row>
    <row r="17" ht="28.5" customHeight="1">
      <c r="A17" s="28" t="s">
        <v>92</v>
      </c>
      <c r="B17" s="28" t="s">
        <v>93</v>
      </c>
      <c r="C17" s="28" t="s">
        <v>95</v>
      </c>
      <c r="D17" s="28"/>
    </row>
    <row r="18" ht="28.5" customHeight="1">
      <c r="A18" s="28" t="s">
        <v>109</v>
      </c>
      <c r="B18" s="28" t="s">
        <v>110</v>
      </c>
      <c r="C18" s="28" t="s">
        <v>107</v>
      </c>
      <c r="D18" s="28"/>
    </row>
    <row r="19" ht="28.5" customHeight="1">
      <c r="A19" s="28" t="s">
        <v>141</v>
      </c>
      <c r="B19" s="28" t="s">
        <v>142</v>
      </c>
      <c r="C19" s="28" t="s">
        <v>95</v>
      </c>
      <c r="D19" s="28"/>
    </row>
    <row r="20" ht="28.5" customHeight="1">
      <c r="A20" s="28" t="s">
        <v>155</v>
      </c>
      <c r="B20" s="28" t="s">
        <v>156</v>
      </c>
      <c r="C20" s="28" t="s">
        <v>95</v>
      </c>
      <c r="D20" s="28"/>
    </row>
    <row r="21" ht="28.5" customHeight="1">
      <c r="A21" s="28" t="s">
        <v>165</v>
      </c>
      <c r="B21" s="28" t="s">
        <v>166</v>
      </c>
      <c r="C21" s="28" t="s">
        <v>95</v>
      </c>
      <c r="D21" s="28"/>
    </row>
    <row r="22" ht="28.5" customHeight="1">
      <c r="A22" s="28" t="s">
        <v>192</v>
      </c>
      <c r="B22" s="28" t="s">
        <v>194</v>
      </c>
      <c r="C22" s="28" t="s">
        <v>57</v>
      </c>
      <c r="D22" s="28"/>
    </row>
    <row r="23" ht="28.5" customHeight="1">
      <c r="A23" s="28" t="s">
        <v>212</v>
      </c>
      <c r="B23" s="28" t="s">
        <v>213</v>
      </c>
      <c r="C23" s="28" t="s">
        <v>107</v>
      </c>
      <c r="D23" s="28"/>
    </row>
    <row r="24" ht="28.5" customHeight="1">
      <c r="A24" s="28" t="s">
        <v>254</v>
      </c>
      <c r="B24" s="28" t="s">
        <v>255</v>
      </c>
      <c r="C24" s="28" t="s">
        <v>57</v>
      </c>
      <c r="D24" s="28"/>
    </row>
    <row r="25" ht="28.5" customHeight="1">
      <c r="A25" s="28" t="s">
        <v>295</v>
      </c>
      <c r="B25" s="28" t="s">
        <v>296</v>
      </c>
      <c r="C25" s="28" t="s">
        <v>298</v>
      </c>
      <c r="D25" s="28"/>
    </row>
    <row r="26" ht="28.5" customHeight="1">
      <c r="A26" s="28" t="s">
        <v>299</v>
      </c>
      <c r="B26" s="28" t="s">
        <v>301</v>
      </c>
      <c r="C26" s="28" t="s">
        <v>73</v>
      </c>
      <c r="D26" s="28"/>
    </row>
    <row r="27" ht="28.5" customHeight="1">
      <c r="A27" s="28" t="s">
        <v>303</v>
      </c>
      <c r="B27" s="28" t="s">
        <v>304</v>
      </c>
      <c r="C27" s="28" t="s">
        <v>57</v>
      </c>
      <c r="D27" s="28"/>
    </row>
    <row r="28" ht="28.5" customHeight="1">
      <c r="A28" s="28" t="s">
        <v>305</v>
      </c>
      <c r="B28" s="28" t="s">
        <v>306</v>
      </c>
      <c r="C28" s="28" t="s">
        <v>57</v>
      </c>
      <c r="D28" s="28"/>
    </row>
    <row r="29" ht="15.75" customHeight="1"/>
    <row r="30" ht="15.75" customHeight="1"/>
    <row r="31" ht="30.75" customHeight="1">
      <c r="A31" s="29" t="s">
        <v>309</v>
      </c>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J1"/>
    <mergeCell ref="A2:J2"/>
    <mergeCell ref="A14:G14"/>
    <mergeCell ref="A31:G3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11.0"/>
    <col customWidth="1" min="2" max="2" width="32.0"/>
    <col customWidth="1" min="3" max="3" width="57.0"/>
    <col customWidth="1" min="4" max="4" width="68.0"/>
    <col customWidth="1" min="5" max="5" width="22.0"/>
    <col customWidth="1" min="6" max="6" width="15.0"/>
    <col customWidth="1" min="7" max="7" width="17.0"/>
    <col customWidth="1" min="8" max="8" width="15.0"/>
    <col customWidth="1" min="9" max="9" width="17.0"/>
    <col customWidth="1" min="10" max="10" width="16.0"/>
    <col customWidth="1" min="11" max="11" width="31.0"/>
    <col customWidth="1" min="12" max="26" width="8.63"/>
  </cols>
  <sheetData>
    <row r="1" ht="45.0" customHeight="1">
      <c r="A1" s="1" t="s">
        <v>59</v>
      </c>
    </row>
    <row r="2" ht="28.5" customHeight="1">
      <c r="A2" s="5" t="s">
        <v>62</v>
      </c>
    </row>
    <row r="4" ht="39.75" customHeight="1">
      <c r="A4" s="15" t="s">
        <v>17</v>
      </c>
      <c r="B4" s="15" t="s">
        <v>19</v>
      </c>
      <c r="C4" s="15" t="s">
        <v>75</v>
      </c>
      <c r="D4" s="15" t="s">
        <v>77</v>
      </c>
      <c r="E4" s="15" t="s">
        <v>22</v>
      </c>
      <c r="F4" s="15" t="s">
        <v>80</v>
      </c>
      <c r="G4" s="15" t="s">
        <v>33</v>
      </c>
      <c r="H4" s="15" t="s">
        <v>83</v>
      </c>
      <c r="I4" s="15" t="s">
        <v>35</v>
      </c>
      <c r="J4" s="15" t="s">
        <v>37</v>
      </c>
      <c r="K4" s="15" t="s">
        <v>86</v>
      </c>
    </row>
    <row r="5" ht="34.5" customHeight="1">
      <c r="A5" s="17" t="s">
        <v>52</v>
      </c>
      <c r="B5" s="18" t="s">
        <v>53</v>
      </c>
      <c r="C5" s="18" t="s">
        <v>96</v>
      </c>
      <c r="D5" s="19" t="s">
        <v>99</v>
      </c>
      <c r="E5" s="18" t="s">
        <v>57</v>
      </c>
      <c r="F5" s="18" t="s">
        <v>126</v>
      </c>
      <c r="G5" s="18" t="s">
        <v>58</v>
      </c>
      <c r="H5" s="20">
        <f>IFERROR(COUNTIFS(Subtasks!$B$5:$B$102,A5,Subtasks!$F$5:$F$102,"Done")/COUNTIF(Subtasks!$B$5:$B$102,A5),0)</f>
        <v>0</v>
      </c>
      <c r="I5" s="18" t="s">
        <v>23</v>
      </c>
      <c r="J5" s="21"/>
      <c r="K5" s="18"/>
    </row>
    <row r="6" ht="34.5" customHeight="1">
      <c r="D6" s="19" t="s">
        <v>184</v>
      </c>
    </row>
    <row r="7" ht="34.5" customHeight="1">
      <c r="D7" s="19" t="s">
        <v>187</v>
      </c>
    </row>
    <row r="8" ht="34.5" customHeight="1">
      <c r="D8" s="19" t="s">
        <v>189</v>
      </c>
    </row>
    <row r="9" ht="34.5" customHeight="1">
      <c r="D9" s="19" t="s">
        <v>193</v>
      </c>
    </row>
    <row r="10" ht="34.5" customHeight="1">
      <c r="A10" s="22" t="s">
        <v>70</v>
      </c>
      <c r="B10" s="23" t="s">
        <v>71</v>
      </c>
      <c r="C10" s="23" t="s">
        <v>202</v>
      </c>
      <c r="D10" s="24" t="s">
        <v>205</v>
      </c>
      <c r="E10" s="23" t="s">
        <v>73</v>
      </c>
      <c r="F10" s="23" t="s">
        <v>327</v>
      </c>
      <c r="G10" s="23" t="s">
        <v>58</v>
      </c>
      <c r="H10" s="30">
        <f>IFERROR(COUNTIFS(Subtasks!$B$5:$B$102,A10,Subtasks!$F$5:$F$102,"Done")/COUNTIF(Subtasks!$B$5:$B$102,A10),0)</f>
        <v>1</v>
      </c>
      <c r="I10" s="23" t="s">
        <v>23</v>
      </c>
      <c r="J10" s="31"/>
      <c r="K10" s="23"/>
    </row>
    <row r="11" ht="34.5" customHeight="1">
      <c r="D11" s="24" t="s">
        <v>353</v>
      </c>
    </row>
    <row r="12" ht="34.5" customHeight="1">
      <c r="D12" s="24" t="s">
        <v>354</v>
      </c>
    </row>
    <row r="13" ht="34.5" customHeight="1">
      <c r="D13" s="24" t="s">
        <v>355</v>
      </c>
    </row>
    <row r="14" ht="34.5" customHeight="1">
      <c r="D14" s="24" t="s">
        <v>356</v>
      </c>
    </row>
    <row r="15" ht="34.5" customHeight="1">
      <c r="D15" s="24" t="s">
        <v>357</v>
      </c>
    </row>
    <row r="16" ht="34.5" customHeight="1">
      <c r="A16" s="17" t="s">
        <v>92</v>
      </c>
      <c r="B16" s="18" t="s">
        <v>93</v>
      </c>
      <c r="C16" s="18" t="s">
        <v>358</v>
      </c>
      <c r="D16" s="19" t="s">
        <v>359</v>
      </c>
      <c r="E16" s="18" t="s">
        <v>95</v>
      </c>
      <c r="F16" s="18" t="s">
        <v>327</v>
      </c>
      <c r="G16" s="18" t="s">
        <v>58</v>
      </c>
      <c r="H16" s="20">
        <f>IFERROR(COUNTIFS(Subtasks!$B$5:$B$102,A16,Subtasks!$F$5:$F$102,"Done")/COUNTIF(Subtasks!$B$5:$B$102,A16),0)</f>
        <v>0</v>
      </c>
      <c r="I16" s="18" t="s">
        <v>23</v>
      </c>
      <c r="J16" s="21"/>
      <c r="K16" s="18"/>
    </row>
    <row r="17" ht="34.5" customHeight="1">
      <c r="D17" s="19" t="s">
        <v>360</v>
      </c>
    </row>
    <row r="18" ht="34.5" customHeight="1">
      <c r="D18" s="19" t="s">
        <v>361</v>
      </c>
    </row>
    <row r="19" ht="34.5" customHeight="1">
      <c r="D19" s="19" t="s">
        <v>362</v>
      </c>
    </row>
    <row r="20" ht="34.5" customHeight="1">
      <c r="D20" s="19" t="s">
        <v>363</v>
      </c>
    </row>
    <row r="21" ht="34.5" customHeight="1">
      <c r="A21" s="22" t="s">
        <v>109</v>
      </c>
      <c r="B21" s="23" t="s">
        <v>110</v>
      </c>
      <c r="C21" s="23" t="s">
        <v>364</v>
      </c>
      <c r="D21" s="24" t="s">
        <v>365</v>
      </c>
      <c r="E21" s="23" t="s">
        <v>107</v>
      </c>
      <c r="F21" s="23" t="s">
        <v>327</v>
      </c>
      <c r="G21" s="23" t="s">
        <v>58</v>
      </c>
      <c r="H21" s="30">
        <f>IFERROR(COUNTIFS(Subtasks!$B$5:$B$102,A21,Subtasks!$F$5:$F$102,"Done")/COUNTIF(Subtasks!$B$5:$B$102,A21),0)</f>
        <v>0</v>
      </c>
      <c r="I21" s="23" t="s">
        <v>112</v>
      </c>
      <c r="J21" s="31"/>
      <c r="K21" s="23"/>
    </row>
    <row r="22" ht="34.5" customHeight="1">
      <c r="D22" s="24" t="s">
        <v>366</v>
      </c>
    </row>
    <row r="23" ht="34.5" customHeight="1">
      <c r="D23" s="24" t="s">
        <v>367</v>
      </c>
    </row>
    <row r="24" ht="34.5" customHeight="1">
      <c r="D24" s="32" t="s">
        <v>368</v>
      </c>
    </row>
    <row r="25" ht="34.5" customHeight="1">
      <c r="D25" s="32" t="s">
        <v>369</v>
      </c>
    </row>
    <row r="26" ht="34.5" customHeight="1">
      <c r="D26" s="32" t="s">
        <v>370</v>
      </c>
    </row>
    <row r="27" ht="34.5" customHeight="1">
      <c r="D27" s="32" t="s">
        <v>371</v>
      </c>
    </row>
    <row r="28" ht="34.5" customHeight="1">
      <c r="A28" s="33" t="s">
        <v>128</v>
      </c>
      <c r="B28" s="33" t="s">
        <v>129</v>
      </c>
      <c r="C28" s="33" t="s">
        <v>372</v>
      </c>
      <c r="D28" s="34" t="s">
        <v>373</v>
      </c>
      <c r="E28" s="33" t="s">
        <v>73</v>
      </c>
      <c r="F28" s="33" t="s">
        <v>126</v>
      </c>
      <c r="G28" s="33" t="s">
        <v>58</v>
      </c>
      <c r="H28" s="33">
        <f>IFERROR(COUNTIFS(Subtasks!$B$5:$B$102,A28,Subtasks!$F$5:$F$102,"Done")/COUNTIF(Subtasks!$B$5:$B$102,A28),0)</f>
        <v>0</v>
      </c>
      <c r="I28" s="33" t="s">
        <v>28</v>
      </c>
      <c r="J28" s="33"/>
      <c r="K28" s="33"/>
    </row>
    <row r="29" ht="34.5" customHeight="1">
      <c r="D29" s="34" t="s">
        <v>374</v>
      </c>
    </row>
    <row r="30" ht="34.5" customHeight="1">
      <c r="D30" s="34" t="s">
        <v>375</v>
      </c>
    </row>
    <row r="31" ht="34.5" customHeight="1">
      <c r="D31" s="34" t="s">
        <v>376</v>
      </c>
    </row>
    <row r="32" ht="34.5" customHeight="1">
      <c r="D32" s="34" t="s">
        <v>377</v>
      </c>
    </row>
    <row r="33" ht="34.5" customHeight="1">
      <c r="A33" s="35" t="s">
        <v>141</v>
      </c>
      <c r="B33" s="35" t="s">
        <v>142</v>
      </c>
      <c r="C33" s="35" t="s">
        <v>378</v>
      </c>
      <c r="D33" s="32" t="s">
        <v>379</v>
      </c>
      <c r="E33" s="35" t="s">
        <v>95</v>
      </c>
      <c r="F33" s="35" t="s">
        <v>327</v>
      </c>
      <c r="G33" s="35" t="s">
        <v>58</v>
      </c>
      <c r="H33" s="35">
        <f>IFERROR(COUNTIFS(Subtasks!$B$5:$B$102,A33,Subtasks!$F$5:$F$102,"Done")/COUNTIF(Subtasks!$B$5:$B$102,A33),0)</f>
        <v>0</v>
      </c>
      <c r="I33" s="35" t="s">
        <v>28</v>
      </c>
      <c r="J33" s="35"/>
      <c r="K33" s="35"/>
    </row>
    <row r="34" ht="34.5" customHeight="1">
      <c r="D34" s="32" t="s">
        <v>380</v>
      </c>
    </row>
    <row r="35" ht="34.5" customHeight="1">
      <c r="D35" s="32" t="s">
        <v>381</v>
      </c>
    </row>
    <row r="36" ht="34.5" customHeight="1">
      <c r="D36" s="32" t="s">
        <v>382</v>
      </c>
    </row>
    <row r="37" ht="34.5" customHeight="1">
      <c r="D37" s="32" t="s">
        <v>383</v>
      </c>
    </row>
    <row r="38" ht="34.5" customHeight="1">
      <c r="D38" s="32" t="s">
        <v>384</v>
      </c>
    </row>
    <row r="39" ht="34.5" customHeight="1">
      <c r="A39" s="33" t="s">
        <v>155</v>
      </c>
      <c r="B39" s="33" t="s">
        <v>156</v>
      </c>
      <c r="C39" s="33" t="s">
        <v>385</v>
      </c>
      <c r="D39" s="34" t="s">
        <v>386</v>
      </c>
      <c r="E39" s="33" t="s">
        <v>95</v>
      </c>
      <c r="F39" s="33" t="s">
        <v>327</v>
      </c>
      <c r="G39" s="33" t="s">
        <v>58</v>
      </c>
      <c r="H39" s="33">
        <f>IFERROR(COUNTIFS(Subtasks!$B$5:$B$102,A39,Subtasks!$F$5:$F$102,"Done")/COUNTIF(Subtasks!$B$5:$B$102,A39),0)</f>
        <v>0</v>
      </c>
      <c r="I39" s="33" t="s">
        <v>28</v>
      </c>
      <c r="J39" s="33"/>
      <c r="K39" s="33"/>
    </row>
    <row r="40" ht="34.5" customHeight="1">
      <c r="D40" s="34" t="s">
        <v>387</v>
      </c>
    </row>
    <row r="41" ht="34.5" customHeight="1">
      <c r="D41" s="34" t="s">
        <v>388</v>
      </c>
    </row>
    <row r="42" ht="34.5" customHeight="1">
      <c r="D42" s="34" t="s">
        <v>389</v>
      </c>
    </row>
    <row r="43" ht="34.5" customHeight="1">
      <c r="A43" s="35" t="s">
        <v>165</v>
      </c>
      <c r="B43" s="35" t="s">
        <v>166</v>
      </c>
      <c r="C43" s="35" t="s">
        <v>390</v>
      </c>
      <c r="D43" s="32" t="s">
        <v>391</v>
      </c>
      <c r="E43" s="35" t="s">
        <v>95</v>
      </c>
      <c r="F43" s="35" t="s">
        <v>327</v>
      </c>
      <c r="G43" s="35" t="s">
        <v>58</v>
      </c>
      <c r="H43" s="35">
        <f>IFERROR(COUNTIFS(Subtasks!$B$5:$B$102,A43,Subtasks!$F$5:$F$102,"Done")/COUNTIF(Subtasks!$B$5:$B$102,A43),0)</f>
        <v>0</v>
      </c>
      <c r="I43" s="35" t="s">
        <v>28</v>
      </c>
      <c r="J43" s="35"/>
      <c r="K43" s="35"/>
    </row>
    <row r="44" ht="34.5" customHeight="1">
      <c r="D44" s="32" t="s">
        <v>392</v>
      </c>
    </row>
    <row r="45" ht="34.5" customHeight="1">
      <c r="D45" s="32" t="s">
        <v>393</v>
      </c>
    </row>
    <row r="46" ht="34.5" customHeight="1">
      <c r="D46" s="32" t="s">
        <v>394</v>
      </c>
    </row>
    <row r="47" ht="34.5" customHeight="1">
      <c r="D47" s="32" t="s">
        <v>395</v>
      </c>
    </row>
    <row r="48" ht="34.5" customHeight="1">
      <c r="D48" s="32" t="s">
        <v>396</v>
      </c>
    </row>
    <row r="49" ht="34.5" customHeight="1">
      <c r="A49" s="33" t="s">
        <v>179</v>
      </c>
      <c r="B49" s="33" t="s">
        <v>180</v>
      </c>
      <c r="C49" s="33" t="s">
        <v>397</v>
      </c>
      <c r="D49" s="34" t="s">
        <v>398</v>
      </c>
      <c r="E49" s="33" t="s">
        <v>95</v>
      </c>
      <c r="F49" s="33" t="s">
        <v>126</v>
      </c>
      <c r="G49" s="33" t="s">
        <v>58</v>
      </c>
      <c r="H49" s="33">
        <f>IFERROR(COUNTIFS(Subtasks!$B$5:$B$102,A49,Subtasks!$F$5:$F$102,"Done")/COUNTIF(Subtasks!$B$5:$B$102,A49),0)</f>
        <v>0</v>
      </c>
      <c r="I49" s="33" t="s">
        <v>28</v>
      </c>
      <c r="J49" s="33"/>
      <c r="K49" s="33"/>
    </row>
    <row r="50" ht="34.5" customHeight="1">
      <c r="D50" s="34" t="s">
        <v>399</v>
      </c>
    </row>
    <row r="51" ht="34.5" customHeight="1">
      <c r="D51" s="34" t="s">
        <v>400</v>
      </c>
    </row>
    <row r="52" ht="34.5" customHeight="1">
      <c r="D52" s="34" t="s">
        <v>401</v>
      </c>
    </row>
    <row r="53" ht="34.5" customHeight="1">
      <c r="A53" s="35" t="s">
        <v>192</v>
      </c>
      <c r="B53" s="35" t="s">
        <v>194</v>
      </c>
      <c r="C53" s="35" t="s">
        <v>402</v>
      </c>
      <c r="D53" s="32" t="s">
        <v>403</v>
      </c>
      <c r="E53" s="35" t="s">
        <v>57</v>
      </c>
      <c r="F53" s="35" t="s">
        <v>327</v>
      </c>
      <c r="G53" s="35" t="s">
        <v>58</v>
      </c>
      <c r="H53" s="35">
        <f>IFERROR(COUNTIFS(Subtasks!$B$5:$B$102,A53,Subtasks!$F$5:$F$102,"Done")/COUNTIF(Subtasks!$B$5:$B$102,A53),0)</f>
        <v>0</v>
      </c>
      <c r="I53" s="35" t="s">
        <v>196</v>
      </c>
      <c r="J53" s="35"/>
      <c r="K53" s="35"/>
    </row>
    <row r="54" ht="34.5" customHeight="1">
      <c r="D54" s="32" t="s">
        <v>404</v>
      </c>
    </row>
    <row r="55" ht="34.5" customHeight="1">
      <c r="D55" s="32" t="s">
        <v>405</v>
      </c>
    </row>
    <row r="56" ht="34.5" customHeight="1">
      <c r="D56" s="32" t="s">
        <v>406</v>
      </c>
    </row>
    <row r="57" ht="34.5" customHeight="1">
      <c r="D57" s="32" t="s">
        <v>407</v>
      </c>
    </row>
    <row r="58" ht="34.5" customHeight="1">
      <c r="D58" s="32" t="s">
        <v>408</v>
      </c>
    </row>
    <row r="59" ht="34.5" customHeight="1">
      <c r="A59" s="33" t="s">
        <v>212</v>
      </c>
      <c r="B59" s="33" t="s">
        <v>213</v>
      </c>
      <c r="C59" s="33" t="s">
        <v>409</v>
      </c>
      <c r="D59" s="34" t="s">
        <v>410</v>
      </c>
      <c r="E59" s="33" t="s">
        <v>107</v>
      </c>
      <c r="F59" s="33" t="s">
        <v>327</v>
      </c>
      <c r="G59" s="33" t="s">
        <v>58</v>
      </c>
      <c r="H59" s="33">
        <f>IFERROR(COUNTIFS(Subtasks!$B$5:$B$102,A59,Subtasks!$F$5:$F$102,"Done")/COUNTIF(Subtasks!$B$5:$B$102,A59),0)</f>
        <v>0</v>
      </c>
      <c r="I59" s="33" t="s">
        <v>196</v>
      </c>
      <c r="J59" s="33"/>
      <c r="K59" s="33"/>
    </row>
    <row r="60" ht="34.5" customHeight="1">
      <c r="D60" s="34" t="s">
        <v>411</v>
      </c>
    </row>
    <row r="61" ht="34.5" customHeight="1">
      <c r="D61" s="34" t="s">
        <v>412</v>
      </c>
    </row>
    <row r="62" ht="34.5" customHeight="1">
      <c r="D62" s="34" t="s">
        <v>413</v>
      </c>
    </row>
    <row r="63" ht="34.5" customHeight="1">
      <c r="D63" s="34" t="s">
        <v>414</v>
      </c>
    </row>
    <row r="64" ht="34.5" customHeight="1">
      <c r="A64" s="35" t="s">
        <v>225</v>
      </c>
      <c r="B64" s="35" t="s">
        <v>226</v>
      </c>
      <c r="C64" s="35" t="s">
        <v>415</v>
      </c>
      <c r="D64" s="32" t="s">
        <v>416</v>
      </c>
      <c r="E64" s="35" t="s">
        <v>57</v>
      </c>
      <c r="F64" s="35" t="s">
        <v>417</v>
      </c>
      <c r="G64" s="35" t="s">
        <v>58</v>
      </c>
      <c r="H64" s="35">
        <f>IFERROR(COUNTIFS(Subtasks!$B$5:$B$102,A64,Subtasks!$F$5:$F$102,"Done")/COUNTIF(Subtasks!$B$5:$B$102,A64),0)</f>
        <v>0</v>
      </c>
      <c r="I64" s="35" t="s">
        <v>228</v>
      </c>
      <c r="J64" s="35"/>
      <c r="K64" s="35"/>
    </row>
    <row r="65" ht="34.5" customHeight="1">
      <c r="D65" s="32" t="s">
        <v>418</v>
      </c>
    </row>
    <row r="66" ht="34.5" customHeight="1">
      <c r="D66" s="32" t="s">
        <v>419</v>
      </c>
    </row>
    <row r="67" ht="34.5" customHeight="1">
      <c r="D67" s="32" t="s">
        <v>420</v>
      </c>
    </row>
    <row r="68" ht="34.5" customHeight="1">
      <c r="A68" s="33" t="s">
        <v>236</v>
      </c>
      <c r="B68" s="33" t="s">
        <v>237</v>
      </c>
      <c r="C68" s="33" t="s">
        <v>421</v>
      </c>
      <c r="D68" s="34" t="s">
        <v>422</v>
      </c>
      <c r="E68" s="33" t="s">
        <v>95</v>
      </c>
      <c r="F68" s="33" t="s">
        <v>417</v>
      </c>
      <c r="G68" s="33" t="s">
        <v>58</v>
      </c>
      <c r="H68" s="33">
        <f>IFERROR(COUNTIFS(Subtasks!$B$5:$B$102,A68,Subtasks!$F$5:$F$102,"Done")/COUNTIF(Subtasks!$B$5:$B$102,A68),0)</f>
        <v>0</v>
      </c>
      <c r="I68" s="33" t="s">
        <v>228</v>
      </c>
      <c r="J68" s="33"/>
      <c r="K68" s="33"/>
    </row>
    <row r="69" ht="34.5" customHeight="1">
      <c r="D69" s="34" t="s">
        <v>423</v>
      </c>
    </row>
    <row r="70" ht="34.5" customHeight="1">
      <c r="D70" s="34" t="s">
        <v>424</v>
      </c>
    </row>
    <row r="71" ht="34.5" customHeight="1">
      <c r="D71" s="34" t="s">
        <v>425</v>
      </c>
    </row>
    <row r="72" ht="34.5" customHeight="1">
      <c r="D72" s="34" t="s">
        <v>426</v>
      </c>
    </row>
    <row r="73" ht="34.5" customHeight="1">
      <c r="A73" s="35" t="s">
        <v>254</v>
      </c>
      <c r="B73" s="35" t="s">
        <v>255</v>
      </c>
      <c r="C73" s="35" t="s">
        <v>427</v>
      </c>
      <c r="D73" s="32" t="s">
        <v>428</v>
      </c>
      <c r="E73" s="35" t="s">
        <v>57</v>
      </c>
      <c r="F73" s="35" t="s">
        <v>327</v>
      </c>
      <c r="G73" s="35" t="s">
        <v>58</v>
      </c>
      <c r="H73" s="35">
        <f>IFERROR(COUNTIFS(Subtasks!$B$5:$B$102,A73,Subtasks!$F$5:$F$102,"Done")/COUNTIF(Subtasks!$B$5:$B$102,A73),0)</f>
        <v>0</v>
      </c>
      <c r="I73" s="35" t="s">
        <v>196</v>
      </c>
      <c r="J73" s="35"/>
      <c r="K73" s="35"/>
    </row>
    <row r="74" ht="34.5" customHeight="1">
      <c r="D74" s="32" t="s">
        <v>429</v>
      </c>
    </row>
    <row r="75" ht="34.5" customHeight="1">
      <c r="D75" s="32" t="s">
        <v>430</v>
      </c>
    </row>
    <row r="76" ht="34.5" customHeight="1">
      <c r="D76" s="32" t="s">
        <v>431</v>
      </c>
    </row>
    <row r="77" ht="34.5" customHeight="1">
      <c r="D77" s="32" t="s">
        <v>432</v>
      </c>
    </row>
    <row r="78" ht="34.5" customHeight="1">
      <c r="D78" s="32" t="s">
        <v>433</v>
      </c>
    </row>
    <row r="79" ht="34.5" customHeight="1">
      <c r="D79" s="32" t="s">
        <v>434</v>
      </c>
    </row>
    <row r="80" ht="34.5" customHeight="1">
      <c r="A80" s="33" t="s">
        <v>295</v>
      </c>
      <c r="B80" s="33" t="s">
        <v>296</v>
      </c>
      <c r="C80" s="33" t="s">
        <v>435</v>
      </c>
      <c r="D80" s="34" t="s">
        <v>436</v>
      </c>
      <c r="E80" s="33" t="s">
        <v>298</v>
      </c>
      <c r="F80" s="33" t="s">
        <v>327</v>
      </c>
      <c r="G80" s="33" t="s">
        <v>58</v>
      </c>
      <c r="H80" s="33">
        <f>IFERROR(COUNTIFS(Subtasks!$B$5:$B$102,A80,Subtasks!$F$5:$F$102,"Done")/COUNTIF(Subtasks!$B$5:$B$102,A80),0)</f>
        <v>0</v>
      </c>
      <c r="I80" s="33" t="s">
        <v>228</v>
      </c>
      <c r="J80" s="33"/>
      <c r="K80" s="33"/>
    </row>
    <row r="81" ht="34.5" customHeight="1">
      <c r="D81" s="34" t="s">
        <v>437</v>
      </c>
    </row>
    <row r="82" ht="34.5" customHeight="1">
      <c r="D82" s="34" t="s">
        <v>438</v>
      </c>
    </row>
    <row r="83" ht="34.5" customHeight="1">
      <c r="D83" s="34" t="s">
        <v>439</v>
      </c>
    </row>
    <row r="84" ht="34.5" customHeight="1">
      <c r="D84" s="34" t="s">
        <v>440</v>
      </c>
    </row>
    <row r="85" ht="34.5" customHeight="1">
      <c r="A85" s="35" t="s">
        <v>299</v>
      </c>
      <c r="B85" s="35" t="s">
        <v>301</v>
      </c>
      <c r="C85" s="35" t="s">
        <v>441</v>
      </c>
      <c r="D85" s="32" t="s">
        <v>442</v>
      </c>
      <c r="E85" s="35" t="s">
        <v>73</v>
      </c>
      <c r="F85" s="35" t="s">
        <v>327</v>
      </c>
      <c r="G85" s="35" t="s">
        <v>58</v>
      </c>
      <c r="H85" s="35">
        <f>IFERROR(COUNTIFS(Subtasks!$B$5:$B$102,A85,Subtasks!$F$5:$F$102,"Done")/COUNTIF(Subtasks!$B$5:$B$102,A85),0)</f>
        <v>0</v>
      </c>
      <c r="I85" s="35" t="s">
        <v>228</v>
      </c>
      <c r="J85" s="35"/>
      <c r="K85" s="35"/>
    </row>
    <row r="86" ht="34.5" customHeight="1">
      <c r="D86" s="32" t="s">
        <v>443</v>
      </c>
    </row>
    <row r="87" ht="34.5" customHeight="1">
      <c r="D87" s="32" t="s">
        <v>444</v>
      </c>
    </row>
    <row r="88" ht="34.5" customHeight="1">
      <c r="D88" s="32" t="s">
        <v>445</v>
      </c>
    </row>
    <row r="89" ht="34.5" customHeight="1">
      <c r="D89" s="32" t="s">
        <v>446</v>
      </c>
    </row>
    <row r="90" ht="34.5" customHeight="1">
      <c r="A90" s="33" t="s">
        <v>303</v>
      </c>
      <c r="B90" s="33" t="s">
        <v>304</v>
      </c>
      <c r="C90" s="33" t="s">
        <v>447</v>
      </c>
      <c r="D90" s="34" t="s">
        <v>448</v>
      </c>
      <c r="E90" s="33" t="s">
        <v>57</v>
      </c>
      <c r="F90" s="33" t="s">
        <v>327</v>
      </c>
      <c r="G90" s="33" t="s">
        <v>58</v>
      </c>
      <c r="H90" s="33">
        <f>IFERROR(COUNTIFS(Subtasks!$B$5:$B$102,A90,Subtasks!$F$5:$F$102,"Done")/COUNTIF(Subtasks!$B$5:$B$102,A90),0)</f>
        <v>0</v>
      </c>
      <c r="I90" s="33" t="s">
        <v>228</v>
      </c>
      <c r="J90" s="33"/>
      <c r="K90" s="33"/>
    </row>
    <row r="91" ht="34.5" customHeight="1">
      <c r="D91" s="34" t="s">
        <v>449</v>
      </c>
    </row>
    <row r="92" ht="34.5" customHeight="1">
      <c r="D92" s="34" t="s">
        <v>450</v>
      </c>
    </row>
    <row r="93" ht="34.5" customHeight="1">
      <c r="D93" s="34" t="s">
        <v>451</v>
      </c>
    </row>
    <row r="94" ht="34.5" customHeight="1">
      <c r="D94" s="34" t="s">
        <v>452</v>
      </c>
    </row>
    <row r="95" ht="34.5" customHeight="1">
      <c r="A95" s="35" t="s">
        <v>305</v>
      </c>
      <c r="B95" s="35" t="s">
        <v>306</v>
      </c>
      <c r="C95" s="35" t="s">
        <v>453</v>
      </c>
      <c r="D95" s="32" t="s">
        <v>454</v>
      </c>
      <c r="E95" s="35" t="s">
        <v>57</v>
      </c>
      <c r="F95" s="35" t="s">
        <v>327</v>
      </c>
      <c r="G95" s="35" t="s">
        <v>58</v>
      </c>
      <c r="H95" s="35">
        <f>IFERROR(COUNTIFS(Subtasks!$B$5:$B$102,A95,Subtasks!$F$5:$F$102,"Done")/COUNTIF(Subtasks!$B$5:$B$102,A95),0)</f>
        <v>0</v>
      </c>
      <c r="I95" s="35" t="s">
        <v>42</v>
      </c>
      <c r="J95" s="35"/>
      <c r="K95" s="35"/>
    </row>
    <row r="96" ht="34.5" customHeight="1">
      <c r="D96" s="32" t="s">
        <v>455</v>
      </c>
    </row>
    <row r="97" ht="34.5" customHeight="1">
      <c r="D97" s="32" t="s">
        <v>456</v>
      </c>
    </row>
    <row r="98" ht="34.5" customHeight="1">
      <c r="D98" s="32" t="s">
        <v>457</v>
      </c>
    </row>
    <row r="99" ht="34.5" customHeight="1">
      <c r="A99" s="33" t="s">
        <v>50</v>
      </c>
      <c r="B99" s="33" t="s">
        <v>344</v>
      </c>
      <c r="C99" s="33" t="s">
        <v>458</v>
      </c>
      <c r="D99" s="34" t="s">
        <v>459</v>
      </c>
      <c r="E99" s="33" t="s">
        <v>40</v>
      </c>
      <c r="F99" s="33" t="s">
        <v>460</v>
      </c>
      <c r="G99" s="33" t="s">
        <v>58</v>
      </c>
      <c r="H99" s="33">
        <f>IFERROR(COUNTIFS(Subtasks!$B$5:$B$102,A99,Subtasks!$F$5:$F$102,"Done")/COUNTIF(Subtasks!$B$5:$B$102,A99),0)</f>
        <v>0</v>
      </c>
      <c r="I99" s="33" t="s">
        <v>346</v>
      </c>
      <c r="J99" s="33"/>
      <c r="K99" s="33"/>
    </row>
    <row r="100" ht="34.5" customHeight="1">
      <c r="D100" s="34" t="s">
        <v>461</v>
      </c>
    </row>
    <row r="101" ht="34.5" customHeight="1">
      <c r="D101" s="34" t="s">
        <v>462</v>
      </c>
    </row>
    <row r="102" ht="34.5" customHeight="1">
      <c r="D102" s="34" t="s">
        <v>463</v>
      </c>
    </row>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92">
    <mergeCell ref="I53:I58"/>
    <mergeCell ref="J53:J58"/>
    <mergeCell ref="K53:K58"/>
    <mergeCell ref="A53:A58"/>
    <mergeCell ref="B53:B58"/>
    <mergeCell ref="C53:C58"/>
    <mergeCell ref="E53:E58"/>
    <mergeCell ref="F53:F58"/>
    <mergeCell ref="G53:G58"/>
    <mergeCell ref="H53:H58"/>
    <mergeCell ref="I73:I79"/>
    <mergeCell ref="J73:J79"/>
    <mergeCell ref="K73:K79"/>
    <mergeCell ref="A73:A79"/>
    <mergeCell ref="B73:B79"/>
    <mergeCell ref="C73:C79"/>
    <mergeCell ref="E73:E79"/>
    <mergeCell ref="F73:F79"/>
    <mergeCell ref="G73:G79"/>
    <mergeCell ref="H73:H79"/>
    <mergeCell ref="I80:I84"/>
    <mergeCell ref="J80:J84"/>
    <mergeCell ref="K80:K84"/>
    <mergeCell ref="A80:A84"/>
    <mergeCell ref="B80:B84"/>
    <mergeCell ref="C80:C84"/>
    <mergeCell ref="E80:E84"/>
    <mergeCell ref="F80:F84"/>
    <mergeCell ref="G80:G84"/>
    <mergeCell ref="H80:H84"/>
    <mergeCell ref="I85:I89"/>
    <mergeCell ref="J85:J89"/>
    <mergeCell ref="K85:K89"/>
    <mergeCell ref="A85:A89"/>
    <mergeCell ref="B85:B89"/>
    <mergeCell ref="C85:C89"/>
    <mergeCell ref="E85:E89"/>
    <mergeCell ref="F85:F89"/>
    <mergeCell ref="G85:G89"/>
    <mergeCell ref="H85:H89"/>
    <mergeCell ref="I90:I94"/>
    <mergeCell ref="J90:J94"/>
    <mergeCell ref="K90:K94"/>
    <mergeCell ref="A90:A94"/>
    <mergeCell ref="B90:B94"/>
    <mergeCell ref="C90:C94"/>
    <mergeCell ref="E90:E94"/>
    <mergeCell ref="F90:F94"/>
    <mergeCell ref="G90:G94"/>
    <mergeCell ref="H90:H94"/>
    <mergeCell ref="I95:I98"/>
    <mergeCell ref="J95:J98"/>
    <mergeCell ref="K95:K98"/>
    <mergeCell ref="A95:A98"/>
    <mergeCell ref="B95:B98"/>
    <mergeCell ref="C95:C98"/>
    <mergeCell ref="E95:E98"/>
    <mergeCell ref="F95:F98"/>
    <mergeCell ref="G95:G98"/>
    <mergeCell ref="H95:H98"/>
    <mergeCell ref="I21:I27"/>
    <mergeCell ref="J21:J27"/>
    <mergeCell ref="K21:K27"/>
    <mergeCell ref="A21:A27"/>
    <mergeCell ref="B21:B27"/>
    <mergeCell ref="C21:C27"/>
    <mergeCell ref="E21:E27"/>
    <mergeCell ref="F21:F27"/>
    <mergeCell ref="G21:G27"/>
    <mergeCell ref="H21:H27"/>
    <mergeCell ref="I28:I32"/>
    <mergeCell ref="J28:J32"/>
    <mergeCell ref="K28:K32"/>
    <mergeCell ref="A28:A32"/>
    <mergeCell ref="B28:B32"/>
    <mergeCell ref="C28:C32"/>
    <mergeCell ref="E28:E32"/>
    <mergeCell ref="F28:F32"/>
    <mergeCell ref="G28:G32"/>
    <mergeCell ref="H28:H32"/>
    <mergeCell ref="I33:I38"/>
    <mergeCell ref="J33:J38"/>
    <mergeCell ref="K33:K38"/>
    <mergeCell ref="A33:A38"/>
    <mergeCell ref="B33:B38"/>
    <mergeCell ref="C33:C38"/>
    <mergeCell ref="E33:E38"/>
    <mergeCell ref="F33:F38"/>
    <mergeCell ref="G33:G38"/>
    <mergeCell ref="H33:H38"/>
    <mergeCell ref="I99:I102"/>
    <mergeCell ref="J99:J102"/>
    <mergeCell ref="K99:K102"/>
    <mergeCell ref="A99:A102"/>
    <mergeCell ref="B99:B102"/>
    <mergeCell ref="C99:C102"/>
    <mergeCell ref="E99:E102"/>
    <mergeCell ref="F99:F102"/>
    <mergeCell ref="G99:G102"/>
    <mergeCell ref="H99:H102"/>
    <mergeCell ref="G5:G9"/>
    <mergeCell ref="H5:H9"/>
    <mergeCell ref="I5:I9"/>
    <mergeCell ref="J5:J9"/>
    <mergeCell ref="A1:K1"/>
    <mergeCell ref="A2:K2"/>
    <mergeCell ref="B5:B9"/>
    <mergeCell ref="C5:C9"/>
    <mergeCell ref="E5:E9"/>
    <mergeCell ref="F5:F9"/>
    <mergeCell ref="K5:K9"/>
    <mergeCell ref="H10:H15"/>
    <mergeCell ref="I10:I15"/>
    <mergeCell ref="J10:J15"/>
    <mergeCell ref="K10:K15"/>
    <mergeCell ref="A5:A9"/>
    <mergeCell ref="A10:A15"/>
    <mergeCell ref="B10:B15"/>
    <mergeCell ref="C10:C15"/>
    <mergeCell ref="E10:E15"/>
    <mergeCell ref="F10:F15"/>
    <mergeCell ref="G10:G15"/>
    <mergeCell ref="I16:I20"/>
    <mergeCell ref="J16:J20"/>
    <mergeCell ref="K16:K20"/>
    <mergeCell ref="A16:A20"/>
    <mergeCell ref="B16:B20"/>
    <mergeCell ref="C16:C20"/>
    <mergeCell ref="E16:E20"/>
    <mergeCell ref="F16:F20"/>
    <mergeCell ref="G16:G20"/>
    <mergeCell ref="H16:H20"/>
    <mergeCell ref="I39:I42"/>
    <mergeCell ref="J39:J42"/>
    <mergeCell ref="K39:K42"/>
    <mergeCell ref="A39:A42"/>
    <mergeCell ref="B39:B42"/>
    <mergeCell ref="C39:C42"/>
    <mergeCell ref="E39:E42"/>
    <mergeCell ref="F39:F42"/>
    <mergeCell ref="G39:G42"/>
    <mergeCell ref="H39:H42"/>
    <mergeCell ref="I43:I48"/>
    <mergeCell ref="J43:J48"/>
    <mergeCell ref="K43:K48"/>
    <mergeCell ref="A43:A48"/>
    <mergeCell ref="B43:B48"/>
    <mergeCell ref="C43:C48"/>
    <mergeCell ref="E43:E48"/>
    <mergeCell ref="F43:F48"/>
    <mergeCell ref="G43:G48"/>
    <mergeCell ref="H43:H48"/>
    <mergeCell ref="I49:I52"/>
    <mergeCell ref="J49:J52"/>
    <mergeCell ref="K49:K52"/>
    <mergeCell ref="A49:A52"/>
    <mergeCell ref="B49:B52"/>
    <mergeCell ref="C49:C52"/>
    <mergeCell ref="E49:E52"/>
    <mergeCell ref="F49:F52"/>
    <mergeCell ref="G49:G52"/>
    <mergeCell ref="H49:H52"/>
    <mergeCell ref="I59:I63"/>
    <mergeCell ref="J59:J63"/>
    <mergeCell ref="K59:K63"/>
    <mergeCell ref="A59:A63"/>
    <mergeCell ref="B59:B63"/>
    <mergeCell ref="C59:C63"/>
    <mergeCell ref="E59:E63"/>
    <mergeCell ref="F59:F63"/>
    <mergeCell ref="G59:G63"/>
    <mergeCell ref="H59:H63"/>
    <mergeCell ref="I64:I67"/>
    <mergeCell ref="J64:J67"/>
    <mergeCell ref="K64:K67"/>
    <mergeCell ref="A64:A67"/>
    <mergeCell ref="B64:B67"/>
    <mergeCell ref="C64:C67"/>
    <mergeCell ref="E64:E67"/>
    <mergeCell ref="F64:F67"/>
    <mergeCell ref="G64:G67"/>
    <mergeCell ref="H64:H67"/>
    <mergeCell ref="I68:I72"/>
    <mergeCell ref="J68:J72"/>
    <mergeCell ref="K68:K72"/>
    <mergeCell ref="A68:A72"/>
    <mergeCell ref="B68:B72"/>
    <mergeCell ref="C68:C72"/>
    <mergeCell ref="E68:E72"/>
    <mergeCell ref="F68:F72"/>
    <mergeCell ref="G68:G72"/>
    <mergeCell ref="H68:H72"/>
  </mergeCells>
  <conditionalFormatting sqref="G5:G23">
    <cfRule type="expression" dxfId="0" priority="1">
      <formula>G5="Done"</formula>
    </cfRule>
  </conditionalFormatting>
  <conditionalFormatting sqref="G5:G23">
    <cfRule type="expression" dxfId="1" priority="2">
      <formula>G5="Blocked"</formula>
    </cfRule>
  </conditionalFormatting>
  <conditionalFormatting sqref="G5:G23">
    <cfRule type="expression" dxfId="2" priority="3">
      <formula>G5="In Progress"</formula>
    </cfRule>
  </conditionalFormatting>
  <conditionalFormatting sqref="G5:G23">
    <cfRule type="expression" dxfId="3" priority="4">
      <formula>G5="In Review"</formula>
    </cfRule>
  </conditionalFormatting>
  <dataValidations>
    <dataValidation type="list" allowBlank="1" sqref="F5 F10 F16 F21">
      <formula1>"Core ★,Supporting,Optional,Conditional"</formula1>
    </dataValidation>
    <dataValidation type="list" allowBlank="1" sqref="E5 E10 E16 E21">
      <formula1>"Lead,Lead + App,Lead + all,Data,Risk A,Risk B,App"</formula1>
    </dataValidation>
    <dataValidation type="list" allowBlank="1" sqref="G5 G10 G16 G21">
      <formula1>"Not Started,In Progress,Blocked,In Review,Done"</formula1>
    </dataValidation>
    <dataValidation type="list" allowBlank="1" sqref="I5 I10 I16 I21">
      <formula1>"Week 1,Week 2,Week 3,Weeks 1–2,Weeks 2–3,Ongoing,If finalist"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13.0"/>
    <col customWidth="1" min="2" max="2" width="10.0"/>
    <col customWidth="1" min="3" max="3" width="34.0"/>
    <col customWidth="1" min="4" max="4" width="67.0"/>
    <col customWidth="1" min="5" max="5" width="17.0"/>
    <col customWidth="1" min="6" max="6" width="18.0"/>
    <col customWidth="1" min="7" max="7" width="17.0"/>
    <col customWidth="1" min="8" max="8" width="16.0"/>
    <col customWidth="1" min="9" max="9" width="44.0"/>
    <col customWidth="1" min="10" max="10" width="34.0"/>
    <col customWidth="1" min="11" max="26" width="8.63"/>
  </cols>
  <sheetData>
    <row r="1" ht="45.0" customHeight="1">
      <c r="A1" s="1" t="s">
        <v>2</v>
      </c>
    </row>
    <row r="2" ht="28.5" customHeight="1">
      <c r="A2" s="5" t="s">
        <v>8</v>
      </c>
    </row>
    <row r="4" ht="30.75" customHeight="1">
      <c r="A4" s="3" t="s">
        <v>14</v>
      </c>
      <c r="B4" s="3" t="s">
        <v>17</v>
      </c>
      <c r="C4" s="3" t="s">
        <v>19</v>
      </c>
      <c r="D4" s="3" t="s">
        <v>20</v>
      </c>
      <c r="E4" s="3" t="s">
        <v>22</v>
      </c>
      <c r="F4" s="3" t="s">
        <v>33</v>
      </c>
      <c r="G4" s="3" t="s">
        <v>35</v>
      </c>
      <c r="H4" s="3" t="s">
        <v>37</v>
      </c>
      <c r="I4" s="3" t="s">
        <v>39</v>
      </c>
      <c r="J4" s="3" t="s">
        <v>41</v>
      </c>
    </row>
    <row r="5" ht="36.75" customHeight="1">
      <c r="A5" s="8" t="s">
        <v>43</v>
      </c>
      <c r="B5" s="8" t="s">
        <v>52</v>
      </c>
      <c r="C5" s="9" t="s">
        <v>53</v>
      </c>
      <c r="D5" s="9" t="s">
        <v>54</v>
      </c>
      <c r="E5" s="9" t="s">
        <v>57</v>
      </c>
      <c r="F5" s="9" t="s">
        <v>58</v>
      </c>
      <c r="G5" s="9" t="s">
        <v>23</v>
      </c>
      <c r="H5" s="14"/>
      <c r="I5" s="9"/>
      <c r="J5" s="9"/>
    </row>
    <row r="6" ht="36.75" customHeight="1">
      <c r="A6" s="8" t="s">
        <v>60</v>
      </c>
      <c r="B6" s="8" t="s">
        <v>52</v>
      </c>
      <c r="C6" s="9" t="s">
        <v>53</v>
      </c>
      <c r="D6" s="9" t="s">
        <v>61</v>
      </c>
      <c r="E6" s="9" t="s">
        <v>57</v>
      </c>
      <c r="F6" s="9" t="s">
        <v>58</v>
      </c>
      <c r="G6" s="9" t="s">
        <v>23</v>
      </c>
      <c r="H6" s="14"/>
      <c r="I6" s="9"/>
      <c r="J6" s="9"/>
    </row>
    <row r="7" ht="36.75" customHeight="1">
      <c r="A7" s="8" t="s">
        <v>63</v>
      </c>
      <c r="B7" s="8" t="s">
        <v>52</v>
      </c>
      <c r="C7" s="9" t="s">
        <v>53</v>
      </c>
      <c r="D7" s="9" t="s">
        <v>64</v>
      </c>
      <c r="E7" s="9" t="s">
        <v>57</v>
      </c>
      <c r="F7" s="9" t="s">
        <v>58</v>
      </c>
      <c r="G7" s="9" t="s">
        <v>23</v>
      </c>
      <c r="H7" s="14"/>
      <c r="I7" s="9"/>
      <c r="J7" s="9"/>
    </row>
    <row r="8" ht="36.75" customHeight="1">
      <c r="A8" s="8" t="s">
        <v>65</v>
      </c>
      <c r="B8" s="8" t="s">
        <v>52</v>
      </c>
      <c r="C8" s="9" t="s">
        <v>53</v>
      </c>
      <c r="D8" s="9" t="s">
        <v>66</v>
      </c>
      <c r="E8" s="9" t="s">
        <v>57</v>
      </c>
      <c r="F8" s="9" t="s">
        <v>58</v>
      </c>
      <c r="G8" s="9" t="s">
        <v>23</v>
      </c>
      <c r="H8" s="14"/>
      <c r="I8" s="9"/>
      <c r="J8" s="9"/>
    </row>
    <row r="9" ht="36.75" customHeight="1">
      <c r="A9" s="8" t="s">
        <v>67</v>
      </c>
      <c r="B9" s="8" t="s">
        <v>52</v>
      </c>
      <c r="C9" s="9" t="s">
        <v>53</v>
      </c>
      <c r="D9" s="9" t="s">
        <v>68</v>
      </c>
      <c r="E9" s="9" t="s">
        <v>57</v>
      </c>
      <c r="F9" s="9" t="s">
        <v>58</v>
      </c>
      <c r="G9" s="9" t="s">
        <v>23</v>
      </c>
      <c r="H9" s="14"/>
      <c r="I9" s="9"/>
      <c r="J9" s="9"/>
    </row>
    <row r="10" ht="36.75" customHeight="1">
      <c r="A10" s="8" t="s">
        <v>69</v>
      </c>
      <c r="B10" s="8" t="s">
        <v>70</v>
      </c>
      <c r="C10" s="9" t="s">
        <v>71</v>
      </c>
      <c r="D10" s="9" t="s">
        <v>72</v>
      </c>
      <c r="E10" s="9" t="s">
        <v>73</v>
      </c>
      <c r="F10" s="16" t="s">
        <v>74</v>
      </c>
      <c r="G10" s="9" t="s">
        <v>23</v>
      </c>
      <c r="H10" s="14"/>
      <c r="I10" s="9"/>
      <c r="J10" s="9"/>
    </row>
    <row r="11" ht="36.75" customHeight="1">
      <c r="A11" s="8" t="s">
        <v>76</v>
      </c>
      <c r="B11" s="8" t="s">
        <v>70</v>
      </c>
      <c r="C11" s="9" t="s">
        <v>71</v>
      </c>
      <c r="D11" s="9" t="s">
        <v>78</v>
      </c>
      <c r="E11" s="9" t="s">
        <v>73</v>
      </c>
      <c r="F11" s="16" t="s">
        <v>74</v>
      </c>
      <c r="G11" s="9" t="s">
        <v>23</v>
      </c>
      <c r="H11" s="14"/>
      <c r="I11" s="9"/>
      <c r="J11" s="9"/>
    </row>
    <row r="12" ht="36.75" customHeight="1">
      <c r="A12" s="8" t="s">
        <v>79</v>
      </c>
      <c r="B12" s="8" t="s">
        <v>70</v>
      </c>
      <c r="C12" s="9" t="s">
        <v>71</v>
      </c>
      <c r="D12" s="9" t="s">
        <v>81</v>
      </c>
      <c r="E12" s="9" t="s">
        <v>73</v>
      </c>
      <c r="F12" s="16" t="s">
        <v>74</v>
      </c>
      <c r="G12" s="9" t="s">
        <v>23</v>
      </c>
      <c r="H12" s="14"/>
      <c r="I12" s="9"/>
      <c r="J12" s="9"/>
    </row>
    <row r="13" ht="36.75" customHeight="1">
      <c r="A13" s="8" t="s">
        <v>82</v>
      </c>
      <c r="B13" s="8" t="s">
        <v>70</v>
      </c>
      <c r="C13" s="9" t="s">
        <v>71</v>
      </c>
      <c r="D13" s="9" t="s">
        <v>84</v>
      </c>
      <c r="E13" s="9" t="s">
        <v>73</v>
      </c>
      <c r="F13" s="16" t="s">
        <v>74</v>
      </c>
      <c r="G13" s="9" t="s">
        <v>23</v>
      </c>
      <c r="H13" s="14"/>
      <c r="I13" s="9"/>
      <c r="J13" s="9"/>
    </row>
    <row r="14" ht="36.75" customHeight="1">
      <c r="A14" s="8" t="s">
        <v>87</v>
      </c>
      <c r="B14" s="8" t="s">
        <v>70</v>
      </c>
      <c r="C14" s="9" t="s">
        <v>71</v>
      </c>
      <c r="D14" s="9" t="s">
        <v>88</v>
      </c>
      <c r="E14" s="9" t="s">
        <v>73</v>
      </c>
      <c r="F14" s="16" t="s">
        <v>74</v>
      </c>
      <c r="G14" s="9" t="s">
        <v>23</v>
      </c>
      <c r="H14" s="14"/>
      <c r="I14" s="9"/>
      <c r="J14" s="9"/>
    </row>
    <row r="15" ht="36.75" customHeight="1">
      <c r="A15" s="8" t="s">
        <v>89</v>
      </c>
      <c r="B15" s="8" t="s">
        <v>70</v>
      </c>
      <c r="C15" s="9" t="s">
        <v>71</v>
      </c>
      <c r="D15" s="9" t="s">
        <v>90</v>
      </c>
      <c r="E15" s="9" t="s">
        <v>73</v>
      </c>
      <c r="F15" s="16" t="s">
        <v>74</v>
      </c>
      <c r="G15" s="9" t="s">
        <v>23</v>
      </c>
      <c r="H15" s="14"/>
      <c r="I15" s="9"/>
      <c r="J15" s="9"/>
    </row>
    <row r="16" ht="36.75" customHeight="1">
      <c r="A16" s="8" t="s">
        <v>91</v>
      </c>
      <c r="B16" s="8" t="s">
        <v>92</v>
      </c>
      <c r="C16" s="9" t="s">
        <v>93</v>
      </c>
      <c r="D16" s="9" t="s">
        <v>94</v>
      </c>
      <c r="E16" s="9" t="s">
        <v>95</v>
      </c>
      <c r="F16" s="9" t="s">
        <v>58</v>
      </c>
      <c r="G16" s="9" t="s">
        <v>23</v>
      </c>
      <c r="H16" s="14"/>
      <c r="I16" s="9"/>
      <c r="J16" s="9"/>
    </row>
    <row r="17" ht="36.75" customHeight="1">
      <c r="A17" s="8" t="s">
        <v>97</v>
      </c>
      <c r="B17" s="8" t="s">
        <v>92</v>
      </c>
      <c r="C17" s="9" t="s">
        <v>93</v>
      </c>
      <c r="D17" s="9" t="s">
        <v>98</v>
      </c>
      <c r="E17" s="9" t="s">
        <v>95</v>
      </c>
      <c r="F17" s="9" t="s">
        <v>58</v>
      </c>
      <c r="G17" s="9" t="s">
        <v>23</v>
      </c>
      <c r="H17" s="14"/>
      <c r="I17" s="9"/>
      <c r="J17" s="9"/>
    </row>
    <row r="18" ht="36.75" customHeight="1">
      <c r="A18" s="8" t="s">
        <v>100</v>
      </c>
      <c r="B18" s="8" t="s">
        <v>92</v>
      </c>
      <c r="C18" s="9" t="s">
        <v>93</v>
      </c>
      <c r="D18" s="9" t="s">
        <v>101</v>
      </c>
      <c r="E18" s="9" t="s">
        <v>95</v>
      </c>
      <c r="F18" s="9" t="s">
        <v>58</v>
      </c>
      <c r="G18" s="9" t="s">
        <v>23</v>
      </c>
      <c r="H18" s="14"/>
      <c r="I18" s="9"/>
      <c r="J18" s="9"/>
    </row>
    <row r="19" ht="36.75" customHeight="1">
      <c r="A19" s="8" t="s">
        <v>103</v>
      </c>
      <c r="B19" s="8" t="s">
        <v>92</v>
      </c>
      <c r="C19" s="9" t="s">
        <v>93</v>
      </c>
      <c r="D19" s="9" t="s">
        <v>104</v>
      </c>
      <c r="E19" s="9" t="s">
        <v>95</v>
      </c>
      <c r="F19" s="9" t="s">
        <v>58</v>
      </c>
      <c r="G19" s="9" t="s">
        <v>23</v>
      </c>
      <c r="H19" s="14"/>
      <c r="I19" s="9"/>
      <c r="J19" s="9"/>
    </row>
    <row r="20" ht="36.75" customHeight="1">
      <c r="A20" s="8" t="s">
        <v>105</v>
      </c>
      <c r="B20" s="8" t="s">
        <v>92</v>
      </c>
      <c r="C20" s="9" t="s">
        <v>93</v>
      </c>
      <c r="D20" s="9" t="s">
        <v>106</v>
      </c>
      <c r="E20" s="9" t="s">
        <v>95</v>
      </c>
      <c r="F20" s="9" t="s">
        <v>58</v>
      </c>
      <c r="G20" s="9" t="s">
        <v>23</v>
      </c>
      <c r="H20" s="14"/>
      <c r="I20" s="9"/>
      <c r="J20" s="9"/>
    </row>
    <row r="21" ht="36.75" customHeight="1">
      <c r="A21" s="8" t="s">
        <v>108</v>
      </c>
      <c r="B21" s="8" t="s">
        <v>109</v>
      </c>
      <c r="C21" s="9" t="s">
        <v>110</v>
      </c>
      <c r="D21" s="9" t="s">
        <v>111</v>
      </c>
      <c r="E21" s="9" t="s">
        <v>107</v>
      </c>
      <c r="F21" s="9" t="s">
        <v>58</v>
      </c>
      <c r="G21" s="9" t="s">
        <v>112</v>
      </c>
      <c r="H21" s="14"/>
      <c r="I21" s="9"/>
      <c r="J21" s="9"/>
    </row>
    <row r="22" ht="36.75" customHeight="1">
      <c r="A22" s="8" t="s">
        <v>113</v>
      </c>
      <c r="B22" s="8" t="s">
        <v>109</v>
      </c>
      <c r="C22" s="9" t="s">
        <v>110</v>
      </c>
      <c r="D22" s="9" t="s">
        <v>114</v>
      </c>
      <c r="E22" s="9" t="s">
        <v>107</v>
      </c>
      <c r="F22" s="9" t="s">
        <v>58</v>
      </c>
      <c r="G22" s="9" t="s">
        <v>112</v>
      </c>
      <c r="H22" s="14"/>
      <c r="I22" s="9"/>
      <c r="J22" s="9"/>
    </row>
    <row r="23" ht="36.75" customHeight="1">
      <c r="A23" s="8" t="s">
        <v>115</v>
      </c>
      <c r="B23" s="8" t="s">
        <v>109</v>
      </c>
      <c r="C23" s="9" t="s">
        <v>110</v>
      </c>
      <c r="D23" s="9" t="s">
        <v>116</v>
      </c>
      <c r="E23" s="9" t="s">
        <v>107</v>
      </c>
      <c r="F23" s="9" t="s">
        <v>58</v>
      </c>
      <c r="G23" s="9" t="s">
        <v>112</v>
      </c>
      <c r="H23" s="14"/>
      <c r="I23" s="9"/>
      <c r="J23" s="9"/>
    </row>
    <row r="24" ht="36.75" customHeight="1">
      <c r="A24" s="8" t="s">
        <v>117</v>
      </c>
      <c r="B24" s="8" t="s">
        <v>109</v>
      </c>
      <c r="C24" s="9" t="s">
        <v>110</v>
      </c>
      <c r="D24" s="9" t="s">
        <v>118</v>
      </c>
      <c r="E24" s="9" t="s">
        <v>107</v>
      </c>
      <c r="F24" s="9" t="s">
        <v>58</v>
      </c>
      <c r="G24" s="9" t="s">
        <v>112</v>
      </c>
      <c r="H24" s="14"/>
      <c r="I24" s="9"/>
      <c r="J24" s="9"/>
    </row>
    <row r="25" ht="36.75" customHeight="1">
      <c r="A25" s="8" t="s">
        <v>119</v>
      </c>
      <c r="B25" s="8" t="s">
        <v>109</v>
      </c>
      <c r="C25" s="9" t="s">
        <v>110</v>
      </c>
      <c r="D25" s="9" t="s">
        <v>120</v>
      </c>
      <c r="E25" s="9" t="s">
        <v>107</v>
      </c>
      <c r="F25" s="9" t="s">
        <v>58</v>
      </c>
      <c r="G25" s="9" t="s">
        <v>112</v>
      </c>
      <c r="H25" s="14"/>
      <c r="I25" s="9"/>
      <c r="J25" s="9"/>
    </row>
    <row r="26" ht="36.75" customHeight="1">
      <c r="A26" s="8" t="s">
        <v>122</v>
      </c>
      <c r="B26" s="8" t="s">
        <v>109</v>
      </c>
      <c r="C26" s="9" t="s">
        <v>110</v>
      </c>
      <c r="D26" s="9" t="s">
        <v>123</v>
      </c>
      <c r="E26" s="9" t="s">
        <v>107</v>
      </c>
      <c r="F26" s="9" t="s">
        <v>58</v>
      </c>
      <c r="G26" s="9" t="s">
        <v>112</v>
      </c>
      <c r="H26" s="14"/>
      <c r="I26" s="9"/>
      <c r="J26" s="9"/>
    </row>
    <row r="27" ht="36.75" customHeight="1">
      <c r="A27" s="8" t="s">
        <v>124</v>
      </c>
      <c r="B27" s="8" t="s">
        <v>109</v>
      </c>
      <c r="C27" s="9" t="s">
        <v>110</v>
      </c>
      <c r="D27" s="9" t="s">
        <v>125</v>
      </c>
      <c r="E27" s="9" t="s">
        <v>107</v>
      </c>
      <c r="F27" s="9" t="s">
        <v>58</v>
      </c>
      <c r="G27" s="9" t="s">
        <v>112</v>
      </c>
      <c r="H27" s="14"/>
      <c r="I27" s="9"/>
      <c r="J27" s="9"/>
    </row>
    <row r="28" ht="36.75" customHeight="1">
      <c r="A28" s="8" t="s">
        <v>127</v>
      </c>
      <c r="B28" s="8" t="s">
        <v>128</v>
      </c>
      <c r="C28" s="9" t="s">
        <v>129</v>
      </c>
      <c r="D28" s="9" t="s">
        <v>130</v>
      </c>
      <c r="E28" s="9" t="s">
        <v>73</v>
      </c>
      <c r="F28" s="9" t="s">
        <v>58</v>
      </c>
      <c r="G28" s="9" t="s">
        <v>28</v>
      </c>
      <c r="H28" s="14"/>
      <c r="I28" s="9"/>
      <c r="J28" s="9"/>
    </row>
    <row r="29" ht="36.75" customHeight="1">
      <c r="A29" s="8" t="s">
        <v>131</v>
      </c>
      <c r="B29" s="8" t="s">
        <v>128</v>
      </c>
      <c r="C29" s="9" t="s">
        <v>129</v>
      </c>
      <c r="D29" s="9" t="s">
        <v>132</v>
      </c>
      <c r="E29" s="9" t="s">
        <v>73</v>
      </c>
      <c r="F29" s="9" t="s">
        <v>58</v>
      </c>
      <c r="G29" s="9" t="s">
        <v>28</v>
      </c>
      <c r="H29" s="14"/>
      <c r="I29" s="9"/>
      <c r="J29" s="9"/>
    </row>
    <row r="30" ht="36.75" customHeight="1">
      <c r="A30" s="8" t="s">
        <v>133</v>
      </c>
      <c r="B30" s="8" t="s">
        <v>128</v>
      </c>
      <c r="C30" s="9" t="s">
        <v>129</v>
      </c>
      <c r="D30" s="9" t="s">
        <v>134</v>
      </c>
      <c r="E30" s="9" t="s">
        <v>73</v>
      </c>
      <c r="F30" s="9" t="s">
        <v>58</v>
      </c>
      <c r="G30" s="9" t="s">
        <v>28</v>
      </c>
      <c r="H30" s="14"/>
      <c r="I30" s="9"/>
      <c r="J30" s="9"/>
    </row>
    <row r="31" ht="36.75" customHeight="1">
      <c r="A31" s="8" t="s">
        <v>135</v>
      </c>
      <c r="B31" s="8" t="s">
        <v>128</v>
      </c>
      <c r="C31" s="9" t="s">
        <v>129</v>
      </c>
      <c r="D31" s="9" t="s">
        <v>136</v>
      </c>
      <c r="E31" s="9" t="s">
        <v>73</v>
      </c>
      <c r="F31" s="9" t="s">
        <v>58</v>
      </c>
      <c r="G31" s="9" t="s">
        <v>28</v>
      </c>
      <c r="H31" s="14"/>
      <c r="I31" s="9"/>
      <c r="J31" s="9"/>
    </row>
    <row r="32" ht="36.75" customHeight="1">
      <c r="A32" s="8" t="s">
        <v>138</v>
      </c>
      <c r="B32" s="8" t="s">
        <v>128</v>
      </c>
      <c r="C32" s="9" t="s">
        <v>129</v>
      </c>
      <c r="D32" s="9" t="s">
        <v>139</v>
      </c>
      <c r="E32" s="9" t="s">
        <v>73</v>
      </c>
      <c r="F32" s="9" t="s">
        <v>58</v>
      </c>
      <c r="G32" s="9" t="s">
        <v>28</v>
      </c>
      <c r="H32" s="14"/>
      <c r="I32" s="9"/>
      <c r="J32" s="9"/>
    </row>
    <row r="33" ht="36.75" customHeight="1">
      <c r="A33" s="8" t="s">
        <v>140</v>
      </c>
      <c r="B33" s="8" t="s">
        <v>141</v>
      </c>
      <c r="C33" s="9" t="s">
        <v>142</v>
      </c>
      <c r="D33" s="9" t="s">
        <v>143</v>
      </c>
      <c r="E33" s="9" t="s">
        <v>95</v>
      </c>
      <c r="F33" s="9" t="s">
        <v>58</v>
      </c>
      <c r="G33" s="9" t="s">
        <v>28</v>
      </c>
      <c r="H33" s="14"/>
      <c r="I33" s="9"/>
      <c r="J33" s="9"/>
    </row>
    <row r="34" ht="36.75" customHeight="1">
      <c r="A34" s="8" t="s">
        <v>144</v>
      </c>
      <c r="B34" s="8" t="s">
        <v>141</v>
      </c>
      <c r="C34" s="9" t="s">
        <v>142</v>
      </c>
      <c r="D34" s="9" t="s">
        <v>145</v>
      </c>
      <c r="E34" s="9" t="s">
        <v>95</v>
      </c>
      <c r="F34" s="9" t="s">
        <v>58</v>
      </c>
      <c r="G34" s="9" t="s">
        <v>28</v>
      </c>
      <c r="H34" s="14"/>
      <c r="I34" s="9"/>
      <c r="J34" s="9"/>
    </row>
    <row r="35" ht="36.75" customHeight="1">
      <c r="A35" s="8" t="s">
        <v>146</v>
      </c>
      <c r="B35" s="8" t="s">
        <v>141</v>
      </c>
      <c r="C35" s="9" t="s">
        <v>142</v>
      </c>
      <c r="D35" s="9" t="s">
        <v>147</v>
      </c>
      <c r="E35" s="9" t="s">
        <v>95</v>
      </c>
      <c r="F35" s="9" t="s">
        <v>58</v>
      </c>
      <c r="G35" s="9" t="s">
        <v>28</v>
      </c>
      <c r="H35" s="14"/>
      <c r="I35" s="9"/>
      <c r="J35" s="9"/>
    </row>
    <row r="36" ht="36.75" customHeight="1">
      <c r="A36" s="8" t="s">
        <v>148</v>
      </c>
      <c r="B36" s="8" t="s">
        <v>141</v>
      </c>
      <c r="C36" s="9" t="s">
        <v>142</v>
      </c>
      <c r="D36" s="9" t="s">
        <v>149</v>
      </c>
      <c r="E36" s="9" t="s">
        <v>95</v>
      </c>
      <c r="F36" s="9" t="s">
        <v>58</v>
      </c>
      <c r="G36" s="9" t="s">
        <v>28</v>
      </c>
      <c r="H36" s="14"/>
      <c r="I36" s="9"/>
      <c r="J36" s="9"/>
    </row>
    <row r="37" ht="36.75" customHeight="1">
      <c r="A37" s="8" t="s">
        <v>150</v>
      </c>
      <c r="B37" s="8" t="s">
        <v>141</v>
      </c>
      <c r="C37" s="9" t="s">
        <v>142</v>
      </c>
      <c r="D37" s="9" t="s">
        <v>151</v>
      </c>
      <c r="E37" s="9" t="s">
        <v>95</v>
      </c>
      <c r="F37" s="9" t="s">
        <v>58</v>
      </c>
      <c r="G37" s="9" t="s">
        <v>28</v>
      </c>
      <c r="H37" s="14"/>
      <c r="I37" s="9"/>
      <c r="J37" s="9"/>
    </row>
    <row r="38" ht="36.75" customHeight="1">
      <c r="A38" s="8" t="s">
        <v>152</v>
      </c>
      <c r="B38" s="8" t="s">
        <v>141</v>
      </c>
      <c r="C38" s="9" t="s">
        <v>142</v>
      </c>
      <c r="D38" s="9" t="s">
        <v>153</v>
      </c>
      <c r="E38" s="9" t="s">
        <v>95</v>
      </c>
      <c r="F38" s="9" t="s">
        <v>58</v>
      </c>
      <c r="G38" s="9" t="s">
        <v>28</v>
      </c>
      <c r="H38" s="14"/>
      <c r="I38" s="9"/>
      <c r="J38" s="9"/>
    </row>
    <row r="39" ht="36.75" customHeight="1">
      <c r="A39" s="8" t="s">
        <v>154</v>
      </c>
      <c r="B39" s="8" t="s">
        <v>155</v>
      </c>
      <c r="C39" s="9" t="s">
        <v>156</v>
      </c>
      <c r="D39" s="9" t="s">
        <v>157</v>
      </c>
      <c r="E39" s="9" t="s">
        <v>95</v>
      </c>
      <c r="F39" s="9" t="s">
        <v>58</v>
      </c>
      <c r="G39" s="9" t="s">
        <v>28</v>
      </c>
      <c r="H39" s="14"/>
      <c r="I39" s="9"/>
      <c r="J39" s="9"/>
    </row>
    <row r="40" ht="36.75" customHeight="1">
      <c r="A40" s="8" t="s">
        <v>158</v>
      </c>
      <c r="B40" s="8" t="s">
        <v>155</v>
      </c>
      <c r="C40" s="9" t="s">
        <v>156</v>
      </c>
      <c r="D40" s="9" t="s">
        <v>159</v>
      </c>
      <c r="E40" s="9" t="s">
        <v>95</v>
      </c>
      <c r="F40" s="9" t="s">
        <v>58</v>
      </c>
      <c r="G40" s="9" t="s">
        <v>28</v>
      </c>
      <c r="H40" s="14"/>
      <c r="I40" s="9"/>
      <c r="J40" s="9"/>
    </row>
    <row r="41" ht="36.75" customHeight="1">
      <c r="A41" s="8" t="s">
        <v>160</v>
      </c>
      <c r="B41" s="8" t="s">
        <v>155</v>
      </c>
      <c r="C41" s="9" t="s">
        <v>156</v>
      </c>
      <c r="D41" s="9" t="s">
        <v>161</v>
      </c>
      <c r="E41" s="9" t="s">
        <v>95</v>
      </c>
      <c r="F41" s="9" t="s">
        <v>58</v>
      </c>
      <c r="G41" s="9" t="s">
        <v>28</v>
      </c>
      <c r="H41" s="14"/>
      <c r="I41" s="9"/>
      <c r="J41" s="9"/>
    </row>
    <row r="42" ht="36.75" customHeight="1">
      <c r="A42" s="8" t="s">
        <v>162</v>
      </c>
      <c r="B42" s="8" t="s">
        <v>155</v>
      </c>
      <c r="C42" s="9" t="s">
        <v>156</v>
      </c>
      <c r="D42" s="9" t="s">
        <v>163</v>
      </c>
      <c r="E42" s="9" t="s">
        <v>95</v>
      </c>
      <c r="F42" s="9" t="s">
        <v>58</v>
      </c>
      <c r="G42" s="9" t="s">
        <v>28</v>
      </c>
      <c r="H42" s="14"/>
      <c r="I42" s="9"/>
      <c r="J42" s="9"/>
    </row>
    <row r="43" ht="36.75" customHeight="1">
      <c r="A43" s="8" t="s">
        <v>164</v>
      </c>
      <c r="B43" s="8" t="s">
        <v>165</v>
      </c>
      <c r="C43" s="9" t="s">
        <v>166</v>
      </c>
      <c r="D43" s="9" t="s">
        <v>167</v>
      </c>
      <c r="E43" s="9" t="s">
        <v>95</v>
      </c>
      <c r="F43" s="9" t="s">
        <v>58</v>
      </c>
      <c r="G43" s="9" t="s">
        <v>28</v>
      </c>
      <c r="H43" s="14"/>
      <c r="I43" s="9"/>
      <c r="J43" s="9"/>
    </row>
    <row r="44" ht="36.75" customHeight="1">
      <c r="A44" s="8" t="s">
        <v>168</v>
      </c>
      <c r="B44" s="8" t="s">
        <v>165</v>
      </c>
      <c r="C44" s="9" t="s">
        <v>166</v>
      </c>
      <c r="D44" s="9" t="s">
        <v>169</v>
      </c>
      <c r="E44" s="9" t="s">
        <v>95</v>
      </c>
      <c r="F44" s="9" t="s">
        <v>58</v>
      </c>
      <c r="G44" s="9" t="s">
        <v>28</v>
      </c>
      <c r="H44" s="14"/>
      <c r="I44" s="9"/>
      <c r="J44" s="9"/>
    </row>
    <row r="45" ht="36.75" customHeight="1">
      <c r="A45" s="8" t="s">
        <v>170</v>
      </c>
      <c r="B45" s="8" t="s">
        <v>165</v>
      </c>
      <c r="C45" s="9" t="s">
        <v>166</v>
      </c>
      <c r="D45" s="9" t="s">
        <v>171</v>
      </c>
      <c r="E45" s="9" t="s">
        <v>95</v>
      </c>
      <c r="F45" s="9" t="s">
        <v>58</v>
      </c>
      <c r="G45" s="9" t="s">
        <v>28</v>
      </c>
      <c r="H45" s="14"/>
      <c r="I45" s="9"/>
      <c r="J45" s="9"/>
    </row>
    <row r="46" ht="36.75" customHeight="1">
      <c r="A46" s="8" t="s">
        <v>172</v>
      </c>
      <c r="B46" s="8" t="s">
        <v>165</v>
      </c>
      <c r="C46" s="9" t="s">
        <v>166</v>
      </c>
      <c r="D46" s="9" t="s">
        <v>173</v>
      </c>
      <c r="E46" s="9" t="s">
        <v>95</v>
      </c>
      <c r="F46" s="9" t="s">
        <v>58</v>
      </c>
      <c r="G46" s="9" t="s">
        <v>28</v>
      </c>
      <c r="H46" s="14"/>
      <c r="I46" s="9"/>
      <c r="J46" s="9"/>
    </row>
    <row r="47" ht="36.75" customHeight="1">
      <c r="A47" s="8" t="s">
        <v>174</v>
      </c>
      <c r="B47" s="8" t="s">
        <v>165</v>
      </c>
      <c r="C47" s="9" t="s">
        <v>166</v>
      </c>
      <c r="D47" s="9" t="s">
        <v>175</v>
      </c>
      <c r="E47" s="9" t="s">
        <v>95</v>
      </c>
      <c r="F47" s="9" t="s">
        <v>58</v>
      </c>
      <c r="G47" s="9" t="s">
        <v>28</v>
      </c>
      <c r="H47" s="14"/>
      <c r="I47" s="9"/>
      <c r="J47" s="9"/>
    </row>
    <row r="48" ht="36.75" customHeight="1">
      <c r="A48" s="8" t="s">
        <v>176</v>
      </c>
      <c r="B48" s="8" t="s">
        <v>165</v>
      </c>
      <c r="C48" s="9" t="s">
        <v>166</v>
      </c>
      <c r="D48" s="9" t="s">
        <v>177</v>
      </c>
      <c r="E48" s="9" t="s">
        <v>95</v>
      </c>
      <c r="F48" s="9" t="s">
        <v>58</v>
      </c>
      <c r="G48" s="9" t="s">
        <v>28</v>
      </c>
      <c r="H48" s="14"/>
      <c r="I48" s="9"/>
      <c r="J48" s="9"/>
    </row>
    <row r="49" ht="36.75" customHeight="1">
      <c r="A49" s="8" t="s">
        <v>178</v>
      </c>
      <c r="B49" s="8" t="s">
        <v>179</v>
      </c>
      <c r="C49" s="9" t="s">
        <v>180</v>
      </c>
      <c r="D49" s="9" t="s">
        <v>181</v>
      </c>
      <c r="E49" s="9" t="s">
        <v>95</v>
      </c>
      <c r="F49" s="9" t="s">
        <v>58</v>
      </c>
      <c r="G49" s="9" t="s">
        <v>28</v>
      </c>
      <c r="H49" s="14"/>
      <c r="I49" s="9"/>
      <c r="J49" s="9"/>
    </row>
    <row r="50" ht="36.75" customHeight="1">
      <c r="A50" s="8" t="s">
        <v>182</v>
      </c>
      <c r="B50" s="8" t="s">
        <v>179</v>
      </c>
      <c r="C50" s="9" t="s">
        <v>180</v>
      </c>
      <c r="D50" s="9" t="s">
        <v>183</v>
      </c>
      <c r="E50" s="9" t="s">
        <v>95</v>
      </c>
      <c r="F50" s="9" t="s">
        <v>58</v>
      </c>
      <c r="G50" s="9" t="s">
        <v>28</v>
      </c>
      <c r="H50" s="14"/>
      <c r="I50" s="9"/>
      <c r="J50" s="9"/>
    </row>
    <row r="51" ht="36.75" customHeight="1">
      <c r="A51" s="8" t="s">
        <v>185</v>
      </c>
      <c r="B51" s="8" t="s">
        <v>179</v>
      </c>
      <c r="C51" s="9" t="s">
        <v>180</v>
      </c>
      <c r="D51" s="9" t="s">
        <v>186</v>
      </c>
      <c r="E51" s="9" t="s">
        <v>95</v>
      </c>
      <c r="F51" s="9" t="s">
        <v>58</v>
      </c>
      <c r="G51" s="9" t="s">
        <v>28</v>
      </c>
      <c r="H51" s="14"/>
      <c r="I51" s="9"/>
      <c r="J51" s="9"/>
    </row>
    <row r="52" ht="36.75" customHeight="1">
      <c r="A52" s="8" t="s">
        <v>188</v>
      </c>
      <c r="B52" s="8" t="s">
        <v>179</v>
      </c>
      <c r="C52" s="9" t="s">
        <v>180</v>
      </c>
      <c r="D52" s="9" t="s">
        <v>190</v>
      </c>
      <c r="E52" s="9" t="s">
        <v>95</v>
      </c>
      <c r="F52" s="9" t="s">
        <v>58</v>
      </c>
      <c r="G52" s="9" t="s">
        <v>28</v>
      </c>
      <c r="H52" s="14"/>
      <c r="I52" s="9"/>
      <c r="J52" s="9"/>
    </row>
    <row r="53" ht="36.75" customHeight="1">
      <c r="A53" s="8" t="s">
        <v>191</v>
      </c>
      <c r="B53" s="8" t="s">
        <v>192</v>
      </c>
      <c r="C53" s="9" t="s">
        <v>194</v>
      </c>
      <c r="D53" s="9" t="s">
        <v>195</v>
      </c>
      <c r="E53" s="9" t="s">
        <v>57</v>
      </c>
      <c r="F53" s="9" t="s">
        <v>58</v>
      </c>
      <c r="G53" s="9" t="s">
        <v>196</v>
      </c>
      <c r="H53" s="14"/>
      <c r="I53" s="9"/>
      <c r="J53" s="9"/>
    </row>
    <row r="54" ht="36.75" customHeight="1">
      <c r="A54" s="8" t="s">
        <v>197</v>
      </c>
      <c r="B54" s="8" t="s">
        <v>192</v>
      </c>
      <c r="C54" s="9" t="s">
        <v>194</v>
      </c>
      <c r="D54" s="9" t="s">
        <v>199</v>
      </c>
      <c r="E54" s="9" t="s">
        <v>57</v>
      </c>
      <c r="F54" s="9" t="s">
        <v>58</v>
      </c>
      <c r="G54" s="9" t="s">
        <v>196</v>
      </c>
      <c r="H54" s="14"/>
      <c r="I54" s="9"/>
      <c r="J54" s="9"/>
    </row>
    <row r="55" ht="36.75" customHeight="1">
      <c r="A55" s="8" t="s">
        <v>200</v>
      </c>
      <c r="B55" s="8" t="s">
        <v>192</v>
      </c>
      <c r="C55" s="9" t="s">
        <v>194</v>
      </c>
      <c r="D55" s="9" t="s">
        <v>201</v>
      </c>
      <c r="E55" s="9" t="s">
        <v>57</v>
      </c>
      <c r="F55" s="9" t="s">
        <v>58</v>
      </c>
      <c r="G55" s="9" t="s">
        <v>196</v>
      </c>
      <c r="H55" s="14"/>
      <c r="I55" s="9"/>
      <c r="J55" s="9"/>
    </row>
    <row r="56" ht="36.75" customHeight="1">
      <c r="A56" s="8" t="s">
        <v>203</v>
      </c>
      <c r="B56" s="8" t="s">
        <v>192</v>
      </c>
      <c r="C56" s="9" t="s">
        <v>194</v>
      </c>
      <c r="D56" s="9" t="s">
        <v>204</v>
      </c>
      <c r="E56" s="9" t="s">
        <v>57</v>
      </c>
      <c r="F56" s="9" t="s">
        <v>58</v>
      </c>
      <c r="G56" s="9" t="s">
        <v>196</v>
      </c>
      <c r="H56" s="14"/>
      <c r="I56" s="9"/>
      <c r="J56" s="9"/>
    </row>
    <row r="57" ht="36.75" customHeight="1">
      <c r="A57" s="8" t="s">
        <v>207</v>
      </c>
      <c r="B57" s="8" t="s">
        <v>192</v>
      </c>
      <c r="C57" s="9" t="s">
        <v>194</v>
      </c>
      <c r="D57" s="9" t="s">
        <v>208</v>
      </c>
      <c r="E57" s="9" t="s">
        <v>57</v>
      </c>
      <c r="F57" s="9" t="s">
        <v>58</v>
      </c>
      <c r="G57" s="9" t="s">
        <v>196</v>
      </c>
      <c r="H57" s="14"/>
      <c r="I57" s="9"/>
      <c r="J57" s="9"/>
    </row>
    <row r="58" ht="36.75" customHeight="1">
      <c r="A58" s="8" t="s">
        <v>209</v>
      </c>
      <c r="B58" s="8" t="s">
        <v>192</v>
      </c>
      <c r="C58" s="9" t="s">
        <v>194</v>
      </c>
      <c r="D58" s="9" t="s">
        <v>210</v>
      </c>
      <c r="E58" s="9" t="s">
        <v>57</v>
      </c>
      <c r="F58" s="9" t="s">
        <v>58</v>
      </c>
      <c r="G58" s="9" t="s">
        <v>196</v>
      </c>
      <c r="H58" s="14"/>
      <c r="I58" s="9"/>
      <c r="J58" s="9"/>
    </row>
    <row r="59" ht="36.75" customHeight="1">
      <c r="A59" s="8" t="s">
        <v>211</v>
      </c>
      <c r="B59" s="8" t="s">
        <v>212</v>
      </c>
      <c r="C59" s="9" t="s">
        <v>213</v>
      </c>
      <c r="D59" s="9" t="s">
        <v>214</v>
      </c>
      <c r="E59" s="9" t="s">
        <v>107</v>
      </c>
      <c r="F59" s="9" t="s">
        <v>58</v>
      </c>
      <c r="G59" s="9" t="s">
        <v>196</v>
      </c>
      <c r="H59" s="14"/>
      <c r="I59" s="9"/>
      <c r="J59" s="9"/>
    </row>
    <row r="60" ht="36.75" customHeight="1">
      <c r="A60" s="8" t="s">
        <v>215</v>
      </c>
      <c r="B60" s="8" t="s">
        <v>212</v>
      </c>
      <c r="C60" s="9" t="s">
        <v>213</v>
      </c>
      <c r="D60" s="9" t="s">
        <v>216</v>
      </c>
      <c r="E60" s="9" t="s">
        <v>107</v>
      </c>
      <c r="F60" s="9" t="s">
        <v>58</v>
      </c>
      <c r="G60" s="9" t="s">
        <v>196</v>
      </c>
      <c r="H60" s="14"/>
      <c r="I60" s="9"/>
      <c r="J60" s="9"/>
    </row>
    <row r="61" ht="36.75" customHeight="1">
      <c r="A61" s="8" t="s">
        <v>218</v>
      </c>
      <c r="B61" s="8" t="s">
        <v>212</v>
      </c>
      <c r="C61" s="9" t="s">
        <v>213</v>
      </c>
      <c r="D61" s="9" t="s">
        <v>219</v>
      </c>
      <c r="E61" s="9" t="s">
        <v>107</v>
      </c>
      <c r="F61" s="9" t="s">
        <v>58</v>
      </c>
      <c r="G61" s="9" t="s">
        <v>196</v>
      </c>
      <c r="H61" s="14"/>
      <c r="I61" s="9"/>
      <c r="J61" s="9"/>
    </row>
    <row r="62" ht="36.75" customHeight="1">
      <c r="A62" s="8" t="s">
        <v>220</v>
      </c>
      <c r="B62" s="8" t="s">
        <v>212</v>
      </c>
      <c r="C62" s="9" t="s">
        <v>213</v>
      </c>
      <c r="D62" s="9" t="s">
        <v>221</v>
      </c>
      <c r="E62" s="9" t="s">
        <v>107</v>
      </c>
      <c r="F62" s="9" t="s">
        <v>58</v>
      </c>
      <c r="G62" s="9" t="s">
        <v>196</v>
      </c>
      <c r="H62" s="14"/>
      <c r="I62" s="9"/>
      <c r="J62" s="9"/>
    </row>
    <row r="63" ht="36.75" customHeight="1">
      <c r="A63" s="8" t="s">
        <v>222</v>
      </c>
      <c r="B63" s="8" t="s">
        <v>212</v>
      </c>
      <c r="C63" s="9" t="s">
        <v>213</v>
      </c>
      <c r="D63" s="9" t="s">
        <v>223</v>
      </c>
      <c r="E63" s="9" t="s">
        <v>107</v>
      </c>
      <c r="F63" s="9" t="s">
        <v>58</v>
      </c>
      <c r="G63" s="9" t="s">
        <v>196</v>
      </c>
      <c r="H63" s="14"/>
      <c r="I63" s="9"/>
      <c r="J63" s="9"/>
    </row>
    <row r="64" ht="36.75" customHeight="1">
      <c r="A64" s="8" t="s">
        <v>224</v>
      </c>
      <c r="B64" s="8" t="s">
        <v>225</v>
      </c>
      <c r="C64" s="9" t="s">
        <v>226</v>
      </c>
      <c r="D64" s="9" t="s">
        <v>227</v>
      </c>
      <c r="E64" s="9" t="s">
        <v>57</v>
      </c>
      <c r="F64" s="9" t="s">
        <v>58</v>
      </c>
      <c r="G64" s="9" t="s">
        <v>228</v>
      </c>
      <c r="H64" s="14"/>
      <c r="I64" s="9"/>
      <c r="J64" s="9"/>
    </row>
    <row r="65" ht="36.75" customHeight="1">
      <c r="A65" s="8" t="s">
        <v>229</v>
      </c>
      <c r="B65" s="8" t="s">
        <v>225</v>
      </c>
      <c r="C65" s="9" t="s">
        <v>226</v>
      </c>
      <c r="D65" s="9" t="s">
        <v>230</v>
      </c>
      <c r="E65" s="9" t="s">
        <v>57</v>
      </c>
      <c r="F65" s="9" t="s">
        <v>58</v>
      </c>
      <c r="G65" s="9" t="s">
        <v>228</v>
      </c>
      <c r="H65" s="14"/>
      <c r="I65" s="9"/>
      <c r="J65" s="9"/>
    </row>
    <row r="66" ht="36.75" customHeight="1">
      <c r="A66" s="8" t="s">
        <v>231</v>
      </c>
      <c r="B66" s="8" t="s">
        <v>225</v>
      </c>
      <c r="C66" s="9" t="s">
        <v>226</v>
      </c>
      <c r="D66" s="9" t="s">
        <v>232</v>
      </c>
      <c r="E66" s="9" t="s">
        <v>57</v>
      </c>
      <c r="F66" s="9" t="s">
        <v>58</v>
      </c>
      <c r="G66" s="9" t="s">
        <v>228</v>
      </c>
      <c r="H66" s="14"/>
      <c r="I66" s="9"/>
      <c r="J66" s="9"/>
    </row>
    <row r="67" ht="36.75" customHeight="1">
      <c r="A67" s="8" t="s">
        <v>233</v>
      </c>
      <c r="B67" s="8" t="s">
        <v>225</v>
      </c>
      <c r="C67" s="9" t="s">
        <v>226</v>
      </c>
      <c r="D67" s="9" t="s">
        <v>234</v>
      </c>
      <c r="E67" s="9" t="s">
        <v>57</v>
      </c>
      <c r="F67" s="9" t="s">
        <v>58</v>
      </c>
      <c r="G67" s="9" t="s">
        <v>228</v>
      </c>
      <c r="H67" s="14"/>
      <c r="I67" s="9"/>
      <c r="J67" s="9"/>
    </row>
    <row r="68" ht="36.75" customHeight="1">
      <c r="A68" s="8" t="s">
        <v>235</v>
      </c>
      <c r="B68" s="8" t="s">
        <v>236</v>
      </c>
      <c r="C68" s="9" t="s">
        <v>237</v>
      </c>
      <c r="D68" s="9" t="s">
        <v>238</v>
      </c>
      <c r="E68" s="9" t="s">
        <v>95</v>
      </c>
      <c r="F68" s="9" t="s">
        <v>58</v>
      </c>
      <c r="G68" s="9" t="s">
        <v>228</v>
      </c>
      <c r="H68" s="14"/>
      <c r="I68" s="9"/>
      <c r="J68" s="9"/>
    </row>
    <row r="69" ht="36.75" customHeight="1">
      <c r="A69" s="8" t="s">
        <v>239</v>
      </c>
      <c r="B69" s="8" t="s">
        <v>236</v>
      </c>
      <c r="C69" s="9" t="s">
        <v>237</v>
      </c>
      <c r="D69" s="9" t="s">
        <v>240</v>
      </c>
      <c r="E69" s="9" t="s">
        <v>95</v>
      </c>
      <c r="F69" s="9" t="s">
        <v>58</v>
      </c>
      <c r="G69" s="9" t="s">
        <v>228</v>
      </c>
      <c r="H69" s="14"/>
      <c r="I69" s="9"/>
      <c r="J69" s="9"/>
    </row>
    <row r="70" ht="36.75" customHeight="1">
      <c r="A70" s="8" t="s">
        <v>241</v>
      </c>
      <c r="B70" s="8" t="s">
        <v>236</v>
      </c>
      <c r="C70" s="9" t="s">
        <v>237</v>
      </c>
      <c r="D70" s="9" t="s">
        <v>242</v>
      </c>
      <c r="E70" s="9" t="s">
        <v>95</v>
      </c>
      <c r="F70" s="9" t="s">
        <v>58</v>
      </c>
      <c r="G70" s="9" t="s">
        <v>228</v>
      </c>
      <c r="H70" s="14"/>
      <c r="I70" s="9"/>
      <c r="J70" s="9"/>
    </row>
    <row r="71" ht="36.75" customHeight="1">
      <c r="A71" s="8" t="s">
        <v>244</v>
      </c>
      <c r="B71" s="8" t="s">
        <v>236</v>
      </c>
      <c r="C71" s="9" t="s">
        <v>237</v>
      </c>
      <c r="D71" s="9" t="s">
        <v>246</v>
      </c>
      <c r="E71" s="9" t="s">
        <v>95</v>
      </c>
      <c r="F71" s="9" t="s">
        <v>58</v>
      </c>
      <c r="G71" s="9" t="s">
        <v>228</v>
      </c>
      <c r="H71" s="14"/>
      <c r="I71" s="9"/>
      <c r="J71" s="9"/>
    </row>
    <row r="72" ht="36.75" customHeight="1">
      <c r="A72" s="8" t="s">
        <v>248</v>
      </c>
      <c r="B72" s="8" t="s">
        <v>236</v>
      </c>
      <c r="C72" s="9" t="s">
        <v>237</v>
      </c>
      <c r="D72" s="9" t="s">
        <v>250</v>
      </c>
      <c r="E72" s="9" t="s">
        <v>95</v>
      </c>
      <c r="F72" s="9" t="s">
        <v>58</v>
      </c>
      <c r="G72" s="9" t="s">
        <v>228</v>
      </c>
      <c r="H72" s="14"/>
      <c r="I72" s="9"/>
      <c r="J72" s="9"/>
    </row>
    <row r="73" ht="36.75" customHeight="1">
      <c r="A73" s="8" t="s">
        <v>253</v>
      </c>
      <c r="B73" s="8" t="s">
        <v>254</v>
      </c>
      <c r="C73" s="9" t="s">
        <v>255</v>
      </c>
      <c r="D73" s="9" t="s">
        <v>257</v>
      </c>
      <c r="E73" s="9" t="s">
        <v>57</v>
      </c>
      <c r="F73" s="9" t="s">
        <v>58</v>
      </c>
      <c r="G73" s="9" t="s">
        <v>196</v>
      </c>
      <c r="H73" s="14"/>
      <c r="I73" s="9"/>
      <c r="J73" s="9"/>
    </row>
    <row r="74" ht="36.75" customHeight="1">
      <c r="A74" s="8" t="s">
        <v>261</v>
      </c>
      <c r="B74" s="8" t="s">
        <v>254</v>
      </c>
      <c r="C74" s="9" t="s">
        <v>255</v>
      </c>
      <c r="D74" s="9" t="s">
        <v>264</v>
      </c>
      <c r="E74" s="9" t="s">
        <v>57</v>
      </c>
      <c r="F74" s="9" t="s">
        <v>58</v>
      </c>
      <c r="G74" s="9" t="s">
        <v>196</v>
      </c>
      <c r="H74" s="14"/>
      <c r="I74" s="9"/>
      <c r="J74" s="9"/>
    </row>
    <row r="75" ht="36.75" customHeight="1">
      <c r="A75" s="8" t="s">
        <v>267</v>
      </c>
      <c r="B75" s="8" t="s">
        <v>254</v>
      </c>
      <c r="C75" s="9" t="s">
        <v>255</v>
      </c>
      <c r="D75" s="9" t="s">
        <v>269</v>
      </c>
      <c r="E75" s="9" t="s">
        <v>57</v>
      </c>
      <c r="F75" s="9" t="s">
        <v>58</v>
      </c>
      <c r="G75" s="9" t="s">
        <v>196</v>
      </c>
      <c r="H75" s="14"/>
      <c r="I75" s="9"/>
      <c r="J75" s="9"/>
    </row>
    <row r="76" ht="36.75" customHeight="1">
      <c r="A76" s="8" t="s">
        <v>273</v>
      </c>
      <c r="B76" s="8" t="s">
        <v>254</v>
      </c>
      <c r="C76" s="9" t="s">
        <v>255</v>
      </c>
      <c r="D76" s="9" t="s">
        <v>275</v>
      </c>
      <c r="E76" s="9" t="s">
        <v>57</v>
      </c>
      <c r="F76" s="9" t="s">
        <v>58</v>
      </c>
      <c r="G76" s="9" t="s">
        <v>196</v>
      </c>
      <c r="H76" s="14"/>
      <c r="I76" s="9"/>
      <c r="J76" s="9"/>
    </row>
    <row r="77" ht="36.75" customHeight="1">
      <c r="A77" s="8" t="s">
        <v>279</v>
      </c>
      <c r="B77" s="8" t="s">
        <v>254</v>
      </c>
      <c r="C77" s="9" t="s">
        <v>255</v>
      </c>
      <c r="D77" s="9" t="s">
        <v>282</v>
      </c>
      <c r="E77" s="9" t="s">
        <v>57</v>
      </c>
      <c r="F77" s="9" t="s">
        <v>58</v>
      </c>
      <c r="G77" s="9" t="s">
        <v>196</v>
      </c>
      <c r="H77" s="14"/>
      <c r="I77" s="9"/>
      <c r="J77" s="9"/>
    </row>
    <row r="78" ht="36.75" customHeight="1">
      <c r="A78" s="8" t="s">
        <v>290</v>
      </c>
      <c r="B78" s="8" t="s">
        <v>254</v>
      </c>
      <c r="C78" s="9" t="s">
        <v>255</v>
      </c>
      <c r="D78" s="9" t="s">
        <v>291</v>
      </c>
      <c r="E78" s="9" t="s">
        <v>57</v>
      </c>
      <c r="F78" s="9" t="s">
        <v>58</v>
      </c>
      <c r="G78" s="9" t="s">
        <v>196</v>
      </c>
      <c r="H78" s="14"/>
      <c r="I78" s="9"/>
      <c r="J78" s="9"/>
    </row>
    <row r="79" ht="36.75" customHeight="1">
      <c r="A79" s="8" t="s">
        <v>292</v>
      </c>
      <c r="B79" s="8" t="s">
        <v>254</v>
      </c>
      <c r="C79" s="9" t="s">
        <v>255</v>
      </c>
      <c r="D79" s="9" t="s">
        <v>293</v>
      </c>
      <c r="E79" s="9" t="s">
        <v>57</v>
      </c>
      <c r="F79" s="9" t="s">
        <v>58</v>
      </c>
      <c r="G79" s="9" t="s">
        <v>196</v>
      </c>
      <c r="H79" s="14"/>
      <c r="I79" s="9"/>
      <c r="J79" s="9"/>
    </row>
    <row r="80" ht="36.75" customHeight="1">
      <c r="A80" s="8" t="s">
        <v>294</v>
      </c>
      <c r="B80" s="8" t="s">
        <v>295</v>
      </c>
      <c r="C80" s="9" t="s">
        <v>296</v>
      </c>
      <c r="D80" s="9" t="s">
        <v>297</v>
      </c>
      <c r="E80" s="9" t="s">
        <v>298</v>
      </c>
      <c r="F80" s="9" t="s">
        <v>58</v>
      </c>
      <c r="G80" s="9" t="s">
        <v>228</v>
      </c>
      <c r="H80" s="14"/>
      <c r="I80" s="9"/>
      <c r="J80" s="9"/>
    </row>
    <row r="81" ht="36.75" customHeight="1">
      <c r="A81" s="8" t="s">
        <v>300</v>
      </c>
      <c r="B81" s="8" t="s">
        <v>295</v>
      </c>
      <c r="C81" s="9" t="s">
        <v>296</v>
      </c>
      <c r="D81" s="9" t="s">
        <v>302</v>
      </c>
      <c r="E81" s="9" t="s">
        <v>298</v>
      </c>
      <c r="F81" s="9" t="s">
        <v>58</v>
      </c>
      <c r="G81" s="9" t="s">
        <v>228</v>
      </c>
      <c r="H81" s="14"/>
      <c r="I81" s="9"/>
      <c r="J81" s="9"/>
    </row>
    <row r="82" ht="36.75" customHeight="1">
      <c r="A82" s="8" t="s">
        <v>307</v>
      </c>
      <c r="B82" s="8" t="s">
        <v>295</v>
      </c>
      <c r="C82" s="9" t="s">
        <v>296</v>
      </c>
      <c r="D82" s="9" t="s">
        <v>308</v>
      </c>
      <c r="E82" s="9" t="s">
        <v>298</v>
      </c>
      <c r="F82" s="9" t="s">
        <v>58</v>
      </c>
      <c r="G82" s="9" t="s">
        <v>228</v>
      </c>
      <c r="H82" s="14"/>
      <c r="I82" s="9"/>
      <c r="J82" s="9"/>
    </row>
    <row r="83" ht="36.75" customHeight="1">
      <c r="A83" s="8" t="s">
        <v>310</v>
      </c>
      <c r="B83" s="8" t="s">
        <v>295</v>
      </c>
      <c r="C83" s="9" t="s">
        <v>296</v>
      </c>
      <c r="D83" s="9" t="s">
        <v>311</v>
      </c>
      <c r="E83" s="9" t="s">
        <v>298</v>
      </c>
      <c r="F83" s="9" t="s">
        <v>58</v>
      </c>
      <c r="G83" s="9" t="s">
        <v>228</v>
      </c>
      <c r="H83" s="14"/>
      <c r="I83" s="9"/>
      <c r="J83" s="9"/>
    </row>
    <row r="84" ht="36.75" customHeight="1">
      <c r="A84" s="8" t="s">
        <v>312</v>
      </c>
      <c r="B84" s="8" t="s">
        <v>295</v>
      </c>
      <c r="C84" s="9" t="s">
        <v>296</v>
      </c>
      <c r="D84" s="9" t="s">
        <v>313</v>
      </c>
      <c r="E84" s="9" t="s">
        <v>298</v>
      </c>
      <c r="F84" s="9" t="s">
        <v>58</v>
      </c>
      <c r="G84" s="9" t="s">
        <v>228</v>
      </c>
      <c r="H84" s="14"/>
      <c r="I84" s="9"/>
      <c r="J84" s="9"/>
    </row>
    <row r="85" ht="36.75" customHeight="1">
      <c r="A85" s="8" t="s">
        <v>314</v>
      </c>
      <c r="B85" s="8" t="s">
        <v>299</v>
      </c>
      <c r="C85" s="9" t="s">
        <v>301</v>
      </c>
      <c r="D85" s="9" t="s">
        <v>315</v>
      </c>
      <c r="E85" s="9" t="s">
        <v>73</v>
      </c>
      <c r="F85" s="9" t="s">
        <v>58</v>
      </c>
      <c r="G85" s="9" t="s">
        <v>228</v>
      </c>
      <c r="H85" s="14"/>
      <c r="I85" s="9"/>
      <c r="J85" s="9"/>
    </row>
    <row r="86" ht="36.75" customHeight="1">
      <c r="A86" s="8" t="s">
        <v>316</v>
      </c>
      <c r="B86" s="8" t="s">
        <v>299</v>
      </c>
      <c r="C86" s="9" t="s">
        <v>301</v>
      </c>
      <c r="D86" s="9" t="s">
        <v>317</v>
      </c>
      <c r="E86" s="9" t="s">
        <v>73</v>
      </c>
      <c r="F86" s="9" t="s">
        <v>58</v>
      </c>
      <c r="G86" s="9" t="s">
        <v>228</v>
      </c>
      <c r="H86" s="14"/>
      <c r="I86" s="9"/>
      <c r="J86" s="9"/>
    </row>
    <row r="87" ht="36.75" customHeight="1">
      <c r="A87" s="8" t="s">
        <v>318</v>
      </c>
      <c r="B87" s="8" t="s">
        <v>299</v>
      </c>
      <c r="C87" s="9" t="s">
        <v>301</v>
      </c>
      <c r="D87" s="9" t="s">
        <v>319</v>
      </c>
      <c r="E87" s="9" t="s">
        <v>73</v>
      </c>
      <c r="F87" s="9" t="s">
        <v>58</v>
      </c>
      <c r="G87" s="9" t="s">
        <v>228</v>
      </c>
      <c r="H87" s="14"/>
      <c r="I87" s="9"/>
      <c r="J87" s="9"/>
    </row>
    <row r="88" ht="36.75" customHeight="1">
      <c r="A88" s="8" t="s">
        <v>320</v>
      </c>
      <c r="B88" s="8" t="s">
        <v>299</v>
      </c>
      <c r="C88" s="9" t="s">
        <v>301</v>
      </c>
      <c r="D88" s="9" t="s">
        <v>321</v>
      </c>
      <c r="E88" s="9" t="s">
        <v>73</v>
      </c>
      <c r="F88" s="9" t="s">
        <v>58</v>
      </c>
      <c r="G88" s="9" t="s">
        <v>228</v>
      </c>
      <c r="H88" s="14"/>
      <c r="I88" s="9"/>
      <c r="J88" s="9"/>
    </row>
    <row r="89" ht="36.75" customHeight="1">
      <c r="A89" s="8" t="s">
        <v>322</v>
      </c>
      <c r="B89" s="8" t="s">
        <v>299</v>
      </c>
      <c r="C89" s="9" t="s">
        <v>301</v>
      </c>
      <c r="D89" s="9" t="s">
        <v>323</v>
      </c>
      <c r="E89" s="9" t="s">
        <v>73</v>
      </c>
      <c r="F89" s="9" t="s">
        <v>58</v>
      </c>
      <c r="G89" s="9" t="s">
        <v>228</v>
      </c>
      <c r="H89" s="14"/>
      <c r="I89" s="9"/>
      <c r="J89" s="9"/>
    </row>
    <row r="90" ht="36.75" customHeight="1">
      <c r="A90" s="8" t="s">
        <v>324</v>
      </c>
      <c r="B90" s="8" t="s">
        <v>303</v>
      </c>
      <c r="C90" s="9" t="s">
        <v>304</v>
      </c>
      <c r="D90" s="9" t="s">
        <v>325</v>
      </c>
      <c r="E90" s="9" t="s">
        <v>57</v>
      </c>
      <c r="F90" s="9" t="s">
        <v>58</v>
      </c>
      <c r="G90" s="9" t="s">
        <v>228</v>
      </c>
      <c r="H90" s="14"/>
      <c r="I90" s="9"/>
      <c r="J90" s="9"/>
    </row>
    <row r="91" ht="36.75" customHeight="1">
      <c r="A91" s="8" t="s">
        <v>326</v>
      </c>
      <c r="B91" s="8" t="s">
        <v>303</v>
      </c>
      <c r="C91" s="9" t="s">
        <v>304</v>
      </c>
      <c r="D91" s="9" t="s">
        <v>328</v>
      </c>
      <c r="E91" s="9" t="s">
        <v>57</v>
      </c>
      <c r="F91" s="9" t="s">
        <v>58</v>
      </c>
      <c r="G91" s="9" t="s">
        <v>228</v>
      </c>
      <c r="H91" s="14"/>
      <c r="I91" s="9"/>
      <c r="J91" s="9"/>
    </row>
    <row r="92" ht="36.75" customHeight="1">
      <c r="A92" s="8" t="s">
        <v>329</v>
      </c>
      <c r="B92" s="8" t="s">
        <v>303</v>
      </c>
      <c r="C92" s="9" t="s">
        <v>304</v>
      </c>
      <c r="D92" s="9" t="s">
        <v>330</v>
      </c>
      <c r="E92" s="9" t="s">
        <v>57</v>
      </c>
      <c r="F92" s="9" t="s">
        <v>58</v>
      </c>
      <c r="G92" s="9" t="s">
        <v>228</v>
      </c>
      <c r="H92" s="14"/>
      <c r="I92" s="9"/>
      <c r="J92" s="9"/>
    </row>
    <row r="93" ht="36.75" customHeight="1">
      <c r="A93" s="8" t="s">
        <v>331</v>
      </c>
      <c r="B93" s="8" t="s">
        <v>303</v>
      </c>
      <c r="C93" s="9" t="s">
        <v>304</v>
      </c>
      <c r="D93" s="9" t="s">
        <v>332</v>
      </c>
      <c r="E93" s="9" t="s">
        <v>57</v>
      </c>
      <c r="F93" s="9" t="s">
        <v>58</v>
      </c>
      <c r="G93" s="9" t="s">
        <v>228</v>
      </c>
      <c r="H93" s="14"/>
      <c r="I93" s="9"/>
      <c r="J93" s="9"/>
    </row>
    <row r="94" ht="36.75" customHeight="1">
      <c r="A94" s="8" t="s">
        <v>333</v>
      </c>
      <c r="B94" s="8" t="s">
        <v>303</v>
      </c>
      <c r="C94" s="9" t="s">
        <v>304</v>
      </c>
      <c r="D94" s="9" t="s">
        <v>334</v>
      </c>
      <c r="E94" s="9" t="s">
        <v>57</v>
      </c>
      <c r="F94" s="9" t="s">
        <v>58</v>
      </c>
      <c r="G94" s="9" t="s">
        <v>228</v>
      </c>
      <c r="H94" s="14"/>
      <c r="I94" s="9"/>
      <c r="J94" s="9"/>
    </row>
    <row r="95" ht="36.75" customHeight="1">
      <c r="A95" s="8" t="s">
        <v>335</v>
      </c>
      <c r="B95" s="8" t="s">
        <v>305</v>
      </c>
      <c r="C95" s="9" t="s">
        <v>306</v>
      </c>
      <c r="D95" s="9" t="s">
        <v>336</v>
      </c>
      <c r="E95" s="9" t="s">
        <v>57</v>
      </c>
      <c r="F95" s="9" t="s">
        <v>58</v>
      </c>
      <c r="G95" s="9" t="s">
        <v>42</v>
      </c>
      <c r="H95" s="14"/>
      <c r="I95" s="9"/>
      <c r="J95" s="9"/>
    </row>
    <row r="96" ht="36.75" customHeight="1">
      <c r="A96" s="8" t="s">
        <v>337</v>
      </c>
      <c r="B96" s="8" t="s">
        <v>305</v>
      </c>
      <c r="C96" s="9" t="s">
        <v>306</v>
      </c>
      <c r="D96" s="9" t="s">
        <v>338</v>
      </c>
      <c r="E96" s="9" t="s">
        <v>57</v>
      </c>
      <c r="F96" s="9" t="s">
        <v>58</v>
      </c>
      <c r="G96" s="9" t="s">
        <v>42</v>
      </c>
      <c r="H96" s="14"/>
      <c r="I96" s="9"/>
      <c r="J96" s="9"/>
    </row>
    <row r="97" ht="36.75" customHeight="1">
      <c r="A97" s="8" t="s">
        <v>339</v>
      </c>
      <c r="B97" s="8" t="s">
        <v>305</v>
      </c>
      <c r="C97" s="9" t="s">
        <v>306</v>
      </c>
      <c r="D97" s="9" t="s">
        <v>340</v>
      </c>
      <c r="E97" s="9" t="s">
        <v>57</v>
      </c>
      <c r="F97" s="9" t="s">
        <v>58</v>
      </c>
      <c r="G97" s="9" t="s">
        <v>42</v>
      </c>
      <c r="H97" s="14"/>
      <c r="I97" s="9"/>
      <c r="J97" s="9"/>
    </row>
    <row r="98" ht="36.75" customHeight="1">
      <c r="A98" s="8" t="s">
        <v>341</v>
      </c>
      <c r="B98" s="8" t="s">
        <v>305</v>
      </c>
      <c r="C98" s="9" t="s">
        <v>306</v>
      </c>
      <c r="D98" s="9" t="s">
        <v>342</v>
      </c>
      <c r="E98" s="9" t="s">
        <v>57</v>
      </c>
      <c r="F98" s="9" t="s">
        <v>58</v>
      </c>
      <c r="G98" s="9" t="s">
        <v>42</v>
      </c>
      <c r="H98" s="14"/>
      <c r="I98" s="9"/>
      <c r="J98" s="9"/>
    </row>
    <row r="99" ht="36.75" customHeight="1">
      <c r="A99" s="8" t="s">
        <v>343</v>
      </c>
      <c r="B99" s="8" t="s">
        <v>50</v>
      </c>
      <c r="C99" s="9" t="s">
        <v>344</v>
      </c>
      <c r="D99" s="9" t="s">
        <v>345</v>
      </c>
      <c r="E99" s="9" t="s">
        <v>40</v>
      </c>
      <c r="F99" s="9" t="s">
        <v>58</v>
      </c>
      <c r="G99" s="9" t="s">
        <v>346</v>
      </c>
      <c r="H99" s="14"/>
      <c r="I99" s="9"/>
      <c r="J99" s="9"/>
    </row>
    <row r="100" ht="36.75" customHeight="1">
      <c r="A100" s="8" t="s">
        <v>347</v>
      </c>
      <c r="B100" s="8" t="s">
        <v>50</v>
      </c>
      <c r="C100" s="9" t="s">
        <v>344</v>
      </c>
      <c r="D100" s="9" t="s">
        <v>348</v>
      </c>
      <c r="E100" s="9" t="s">
        <v>40</v>
      </c>
      <c r="F100" s="9" t="s">
        <v>58</v>
      </c>
      <c r="G100" s="9" t="s">
        <v>346</v>
      </c>
      <c r="H100" s="14"/>
      <c r="I100" s="9"/>
      <c r="J100" s="9"/>
    </row>
    <row r="101" ht="36.75" customHeight="1">
      <c r="A101" s="8" t="s">
        <v>349</v>
      </c>
      <c r="B101" s="8" t="s">
        <v>50</v>
      </c>
      <c r="C101" s="9" t="s">
        <v>344</v>
      </c>
      <c r="D101" s="9" t="s">
        <v>350</v>
      </c>
      <c r="E101" s="9" t="s">
        <v>40</v>
      </c>
      <c r="F101" s="9" t="s">
        <v>58</v>
      </c>
      <c r="G101" s="9" t="s">
        <v>346</v>
      </c>
      <c r="H101" s="14"/>
      <c r="I101" s="9"/>
      <c r="J101" s="9"/>
    </row>
    <row r="102" ht="36.75" customHeight="1">
      <c r="A102" s="8" t="s">
        <v>351</v>
      </c>
      <c r="B102" s="8" t="s">
        <v>50</v>
      </c>
      <c r="C102" s="9" t="s">
        <v>344</v>
      </c>
      <c r="D102" s="9" t="s">
        <v>352</v>
      </c>
      <c r="E102" s="9" t="s">
        <v>40</v>
      </c>
      <c r="F102" s="9" t="s">
        <v>58</v>
      </c>
      <c r="G102" s="9" t="s">
        <v>346</v>
      </c>
      <c r="H102" s="14"/>
      <c r="I102" s="9"/>
      <c r="J102" s="9"/>
    </row>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J1"/>
    <mergeCell ref="A2:J2"/>
  </mergeCells>
  <conditionalFormatting sqref="F5:F102">
    <cfRule type="expression" dxfId="0" priority="1">
      <formula>F5="Done"</formula>
    </cfRule>
  </conditionalFormatting>
  <conditionalFormatting sqref="F5:F102">
    <cfRule type="expression" dxfId="1" priority="2">
      <formula>F5="Blocked"</formula>
    </cfRule>
  </conditionalFormatting>
  <conditionalFormatting sqref="F5:F102">
    <cfRule type="expression" dxfId="2" priority="3">
      <formula>F5="In Progress"</formula>
    </cfRule>
  </conditionalFormatting>
  <conditionalFormatting sqref="F5:F102">
    <cfRule type="expression" dxfId="3" priority="4">
      <formula>F5="In Review"</formula>
    </cfRule>
  </conditionalFormatting>
  <dataValidations>
    <dataValidation type="list" allowBlank="1" sqref="E5:E102">
      <formula1>"Lead,Lead + App,Lead + all,Data,Risk A,Risk B,App"</formula1>
    </dataValidation>
    <dataValidation type="list" allowBlank="1" sqref="F5:F102">
      <formula1>"Not Started,In Progress,Blocked,In Review,Done"</formula1>
    </dataValidation>
    <dataValidation type="list" allowBlank="1" sqref="G5:G102">
      <formula1>"Week 1,Week 2,Week 3,Weeks 1–2,Weeks 2–3,Ongoing,If finalist"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21.0"/>
    <col customWidth="1" min="2" max="2" width="31.0"/>
    <col customWidth="1" min="3" max="3" width="43.0"/>
    <col customWidth="1" min="4" max="4" width="67.0"/>
    <col customWidth="1" min="5" max="5" width="36.0"/>
    <col customWidth="1" min="6" max="6" width="21.0"/>
    <col customWidth="1" min="7" max="26" width="8.63"/>
  </cols>
  <sheetData>
    <row r="1" ht="45.0" customHeight="1">
      <c r="A1" s="1" t="s">
        <v>3</v>
      </c>
    </row>
    <row r="2" ht="28.5" customHeight="1">
      <c r="A2" s="5" t="s">
        <v>7</v>
      </c>
    </row>
    <row r="4" ht="30.75" customHeight="1">
      <c r="A4" s="3" t="s">
        <v>13</v>
      </c>
      <c r="B4" s="3" t="s">
        <v>15</v>
      </c>
      <c r="C4" s="3" t="s">
        <v>16</v>
      </c>
      <c r="D4" s="3" t="s">
        <v>18</v>
      </c>
      <c r="E4" s="3" t="s">
        <v>21</v>
      </c>
    </row>
    <row r="5" ht="87.0" customHeight="1">
      <c r="A5" s="6" t="s">
        <v>23</v>
      </c>
      <c r="B5" s="6" t="s">
        <v>24</v>
      </c>
      <c r="C5" s="6" t="s">
        <v>25</v>
      </c>
      <c r="D5" s="6" t="s">
        <v>26</v>
      </c>
      <c r="E5" s="6" t="s">
        <v>27</v>
      </c>
    </row>
    <row r="6" ht="87.0" customHeight="1">
      <c r="A6" s="6" t="s">
        <v>28</v>
      </c>
      <c r="B6" s="6" t="s">
        <v>29</v>
      </c>
      <c r="C6" s="6" t="s">
        <v>30</v>
      </c>
      <c r="D6" s="6" t="s">
        <v>31</v>
      </c>
      <c r="E6" s="6" t="s">
        <v>32</v>
      </c>
    </row>
    <row r="7" ht="87.0" customHeight="1">
      <c r="A7" s="7" t="s">
        <v>28</v>
      </c>
      <c r="B7" s="6" t="s">
        <v>34</v>
      </c>
      <c r="C7" s="6" t="s">
        <v>36</v>
      </c>
      <c r="D7" s="6" t="s">
        <v>38</v>
      </c>
      <c r="E7" s="6" t="s">
        <v>40</v>
      </c>
    </row>
    <row r="8" ht="87.0" customHeight="1">
      <c r="A8" s="6" t="s">
        <v>42</v>
      </c>
      <c r="B8" s="6" t="s">
        <v>44</v>
      </c>
      <c r="C8" s="6" t="s">
        <v>45</v>
      </c>
      <c r="D8" s="6" t="s">
        <v>46</v>
      </c>
      <c r="E8" s="6" t="s">
        <v>47</v>
      </c>
    </row>
    <row r="9" ht="87.0" customHeight="1">
      <c r="A9" s="6" t="s">
        <v>48</v>
      </c>
      <c r="B9" s="6" t="s">
        <v>49</v>
      </c>
      <c r="C9" s="6" t="s">
        <v>50</v>
      </c>
      <c r="D9" s="6" t="s">
        <v>51</v>
      </c>
      <c r="E9" s="6" t="s">
        <v>40</v>
      </c>
    </row>
    <row r="12" ht="30.0" customHeight="1">
      <c r="A12" s="10" t="s">
        <v>55</v>
      </c>
    </row>
    <row r="13" ht="54.0" customHeight="1">
      <c r="A13" s="11" t="s">
        <v>56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2:H2"/>
    <mergeCell ref="A12:E12"/>
    <mergeCell ref="A13:E13"/>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31.0"/>
    <col customWidth="1" min="2" max="2" width="112.0"/>
    <col customWidth="1" min="3" max="26" width="8.63"/>
  </cols>
  <sheetData>
    <row r="1" ht="45.0" customHeight="1">
      <c r="A1" s="1" t="s">
        <v>243</v>
      </c>
    </row>
    <row r="2" ht="28.5" customHeight="1">
      <c r="A2" s="5" t="s">
        <v>245</v>
      </c>
    </row>
    <row r="4" ht="30.75" customHeight="1">
      <c r="A4" s="3" t="s">
        <v>247</v>
      </c>
      <c r="B4" s="3" t="s">
        <v>249</v>
      </c>
    </row>
    <row r="5" ht="58.5" customHeight="1">
      <c r="A5" s="6" t="s">
        <v>252</v>
      </c>
      <c r="B5" s="6" t="s">
        <v>256</v>
      </c>
    </row>
    <row r="6" ht="58.5" customHeight="1">
      <c r="A6" s="6" t="s">
        <v>259</v>
      </c>
      <c r="B6" s="6" t="s">
        <v>260</v>
      </c>
    </row>
    <row r="7" ht="58.5" customHeight="1">
      <c r="A7" s="6" t="s">
        <v>262</v>
      </c>
      <c r="B7" s="6" t="s">
        <v>265</v>
      </c>
    </row>
    <row r="8" ht="58.5" customHeight="1">
      <c r="A8" s="6" t="s">
        <v>266</v>
      </c>
      <c r="B8" s="6" t="s">
        <v>268</v>
      </c>
    </row>
    <row r="9" ht="58.5" customHeight="1">
      <c r="A9" s="6" t="s">
        <v>270</v>
      </c>
      <c r="B9" s="6" t="s">
        <v>271</v>
      </c>
    </row>
    <row r="10" ht="58.5" customHeight="1">
      <c r="A10" s="6" t="s">
        <v>272</v>
      </c>
      <c r="B10" s="6" t="s">
        <v>274</v>
      </c>
    </row>
    <row r="11" ht="58.5" customHeight="1">
      <c r="A11" s="6" t="s">
        <v>276</v>
      </c>
      <c r="B11" s="6" t="s">
        <v>277</v>
      </c>
    </row>
    <row r="12" ht="58.5" customHeight="1">
      <c r="A12" s="6" t="s">
        <v>278</v>
      </c>
      <c r="B12" s="6" t="s">
        <v>280</v>
      </c>
    </row>
    <row r="13" ht="58.5" customHeight="1">
      <c r="A13" s="6" t="s">
        <v>281</v>
      </c>
      <c r="B13" s="6" t="s">
        <v>283</v>
      </c>
    </row>
    <row r="14" ht="58.5" customHeight="1">
      <c r="A14" s="6" t="s">
        <v>284</v>
      </c>
      <c r="B14" s="6" t="s">
        <v>285</v>
      </c>
    </row>
    <row r="15" ht="58.5" customHeight="1">
      <c r="A15" s="6" t="s">
        <v>286</v>
      </c>
      <c r="B15" s="6" t="s">
        <v>287</v>
      </c>
    </row>
    <row r="16" ht="58.5" customHeight="1">
      <c r="A16" s="6" t="s">
        <v>288</v>
      </c>
      <c r="B16" s="6" t="s">
        <v>289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2:H2"/>
  </mergeCells>
  <printOptions/>
  <pageMargins bottom="0.75" footer="0.0" header="0.0" left="0.7" right="0.7" top="0.75"/>
  <pageSetup orientation="landscape"/>
  <drawing r:id="rId1"/>
</worksheet>
</file>