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sheets>
    <sheet xmlns:r="http://schemas.openxmlformats.org/officeDocument/2006/relationships" name="Dashboard" sheetId="1" state="visible" r:id="rId1"/>
    <sheet xmlns:r="http://schemas.openxmlformats.org/officeDocument/2006/relationships" name="Main Tasks" sheetId="2" state="visible" r:id="rId2"/>
    <sheet xmlns:r="http://schemas.openxmlformats.org/officeDocument/2006/relationships" name="Subtasks" sheetId="3" state="visible" r:id="rId3"/>
    <sheet xmlns:r="http://schemas.openxmlformats.org/officeDocument/2006/relationships" name="2-Week Plan" sheetId="4" state="visible" r:id="rId4"/>
    <sheet xmlns:r="http://schemas.openxmlformats.org/officeDocument/2006/relationships" name="How to Use" sheetId="5" state="visible" r:id="rId5"/>
  </sheets>
  <definedNames/>
  <calcPr calcId="124519" fullCalcOnLoad="1"/>
</workbook>
</file>

<file path=xl/styles.xml><?xml version="1.0" encoding="utf-8"?>
<styleSheet xmlns="http://schemas.openxmlformats.org/spreadsheetml/2006/main">
  <numFmts count="1">
    <numFmt numFmtId="164" formatCode="yyyy-mm-dd"/>
  </numFmts>
  <fonts count="11">
    <font>
      <name val="Carlito"/>
      <color rgb="FF000000"/>
      <sz val="11"/>
      <scheme val="minor"/>
    </font>
    <font>
      <name val="Carlito"/>
      <b val="1"/>
      <color rgb="FFFFFFFF"/>
      <sz val="19"/>
    </font>
    <font>
      <name val="Carlito"/>
      <color rgb="FF1D3249"/>
      <sz val="11"/>
    </font>
    <font>
      <name val="Carlito"/>
      <b val="1"/>
      <color rgb="FFFFFFFF"/>
      <sz val="11"/>
    </font>
    <font>
      <name val="Carlito"/>
      <b val="1"/>
      <color rgb="FF1D3249"/>
      <sz val="11"/>
    </font>
    <font>
      <name val="Carlito"/>
      <color theme="1"/>
      <sz val="11"/>
    </font>
    <font>
      <name val="Carlito"/>
      <b val="1"/>
      <color rgb="FF2465A1"/>
      <sz val="10"/>
    </font>
    <font>
      <name val="Carlito"/>
      <color rgb="FF1D3249"/>
      <sz val="10"/>
    </font>
    <font>
      <name val="Carlito"/>
      <b val="1"/>
      <color rgb="FF2465A1"/>
      <sz val="15"/>
    </font>
    <font>
      <name val="Carlito"/>
      <color theme="1"/>
      <scheme val="minor"/>
    </font>
    <font>
      <name val="Carlito"/>
      <b val="1"/>
      <color rgb="FFFFFFFF"/>
      <sz val="12"/>
    </font>
  </fonts>
  <fills count="10">
    <fill>
      <patternFill/>
    </fill>
    <fill>
      <patternFill patternType="lightGray"/>
    </fill>
    <fill>
      <patternFill patternType="solid">
        <fgColor rgb="FF18304F"/>
        <bgColor rgb="FF18304F"/>
      </patternFill>
    </fill>
    <fill>
      <patternFill patternType="solid">
        <fgColor rgb="FFE9F3FC"/>
        <bgColor rgb="FFE9F3FC"/>
      </patternFill>
    </fill>
    <fill>
      <patternFill patternType="solid">
        <fgColor rgb="FF123047"/>
        <bgColor rgb="FF123047"/>
      </patternFill>
    </fill>
    <fill>
      <patternFill patternType="solid">
        <fgColor rgb="FFFFFFFF"/>
        <bgColor rgb="FFFFFFFF"/>
      </patternFill>
    </fill>
    <fill>
      <patternFill patternType="solid">
        <fgColor rgb="FFEAF5F3"/>
        <bgColor rgb="FFEAF5F3"/>
      </patternFill>
    </fill>
    <fill>
      <patternFill patternType="solid">
        <fgColor rgb="FFF0F5FA"/>
        <bgColor rgb="FFF0F5FA"/>
      </patternFill>
    </fill>
    <fill>
      <patternFill patternType="solid">
        <fgColor rgb="FFDFF0EC"/>
        <bgColor rgb="FFDFF0EC"/>
      </patternFill>
    </fill>
    <fill>
      <patternFill patternType="solid">
        <fgColor rgb="FFFFF0D7"/>
        <bgColor rgb="FFFFF0D7"/>
      </patternFill>
    </fill>
  </fills>
  <borders count="1">
    <border/>
  </borders>
  <cellStyleXfs count="1">
    <xf numFmtId="0" fontId="0" fillId="0" borderId="0"/>
  </cellStyleXfs>
  <cellXfs count="37">
    <xf numFmtId="0" fontId="0" fillId="0" borderId="0" applyAlignment="1" pivotButton="0" quotePrefix="0" xfId="0">
      <alignment vertical="bottom"/>
    </xf>
    <xf numFmtId="0" fontId="1" fillId="2" borderId="0" applyAlignment="1" pivotButton="0" quotePrefix="0" xfId="0">
      <alignment vertical="center"/>
    </xf>
    <xf numFmtId="0" fontId="2" fillId="3" borderId="0" applyAlignment="1" pivotButton="0" quotePrefix="0" xfId="0">
      <alignment vertical="center"/>
    </xf>
    <xf numFmtId="0" fontId="3" fillId="2" borderId="0" applyAlignment="1" pivotButton="0" quotePrefix="0" xfId="0">
      <alignment vertical="center" wrapText="1"/>
    </xf>
    <xf numFmtId="0" fontId="4" fillId="0" borderId="0" pivotButton="0" quotePrefix="0" xfId="0"/>
    <xf numFmtId="0" fontId="2" fillId="3" borderId="0" applyAlignment="1" pivotButton="0" quotePrefix="0" xfId="0">
      <alignment vertical="center"/>
    </xf>
    <xf numFmtId="0" fontId="5" fillId="0" borderId="0" applyAlignment="1" pivotButton="0" quotePrefix="0" xfId="0">
      <alignment vertical="center" wrapText="1"/>
    </xf>
    <xf numFmtId="0" fontId="5" fillId="0" borderId="0" applyAlignment="1" pivotButton="0" quotePrefix="0" xfId="0">
      <alignment vertical="center" wrapText="1"/>
    </xf>
    <xf numFmtId="0" fontId="6" fillId="0" borderId="0" applyAlignment="1" pivotButton="0" quotePrefix="0" xfId="0">
      <alignment vertical="center" wrapText="1"/>
    </xf>
    <xf numFmtId="0" fontId="7" fillId="0" borderId="0" applyAlignment="1" pivotButton="0" quotePrefix="0" xfId="0">
      <alignment vertical="center" wrapText="1"/>
    </xf>
    <xf numFmtId="0" fontId="3" fillId="2" borderId="0" pivotButton="0" quotePrefix="0" xfId="0"/>
    <xf numFmtId="0" fontId="5" fillId="3" borderId="0" applyAlignment="1" pivotButton="0" quotePrefix="0" xfId="0">
      <alignment wrapText="1"/>
    </xf>
    <xf numFmtId="0" fontId="8" fillId="3" borderId="0" applyAlignment="1" pivotButton="0" quotePrefix="0" xfId="0">
      <alignment vertical="center"/>
    </xf>
    <xf numFmtId="0" fontId="9" fillId="0" borderId="0" pivotButton="0" quotePrefix="0" xfId="0"/>
    <xf numFmtId="164" fontId="7" fillId="0" borderId="0" applyAlignment="1" pivotButton="0" quotePrefix="0" xfId="0">
      <alignment vertical="center" wrapText="1"/>
    </xf>
    <xf numFmtId="0" fontId="3" fillId="4" borderId="0" applyAlignment="1" pivotButton="0" quotePrefix="0" xfId="0">
      <alignment vertical="center" wrapText="1"/>
    </xf>
    <xf numFmtId="0" fontId="7" fillId="0" borderId="0" applyAlignment="1" pivotButton="0" quotePrefix="0" xfId="0">
      <alignment vertical="center" wrapText="1"/>
    </xf>
    <xf numFmtId="0" fontId="6" fillId="5" borderId="0" applyAlignment="1" pivotButton="0" quotePrefix="0" xfId="0">
      <alignment vertical="center" wrapText="1"/>
    </xf>
    <xf numFmtId="0" fontId="7" fillId="5" borderId="0" applyAlignment="1" pivotButton="0" quotePrefix="0" xfId="0">
      <alignment vertical="center" wrapText="1"/>
    </xf>
    <xf numFmtId="0" fontId="7" fillId="6" borderId="0" applyAlignment="1" pivotButton="0" quotePrefix="0" xfId="0">
      <alignment vertical="center" wrapText="1"/>
    </xf>
    <xf numFmtId="9" fontId="7" fillId="5" borderId="0" applyAlignment="1" pivotButton="0" quotePrefix="0" xfId="0">
      <alignment vertical="center" wrapText="1"/>
    </xf>
    <xf numFmtId="164" fontId="7" fillId="5" borderId="0" applyAlignment="1" pivotButton="0" quotePrefix="0" xfId="0">
      <alignment vertical="center" wrapText="1"/>
    </xf>
    <xf numFmtId="0" fontId="6" fillId="7" borderId="0" applyAlignment="1" pivotButton="0" quotePrefix="0" xfId="0">
      <alignment vertical="center" wrapText="1"/>
    </xf>
    <xf numFmtId="0" fontId="7" fillId="7" borderId="0" applyAlignment="1" pivotButton="0" quotePrefix="0" xfId="0">
      <alignment vertical="center" wrapText="1"/>
    </xf>
    <xf numFmtId="0" fontId="7" fillId="8" borderId="0" applyAlignment="1" pivotButton="0" quotePrefix="0" xfId="0">
      <alignment vertical="center" wrapText="1"/>
    </xf>
    <xf numFmtId="9" fontId="8" fillId="3" borderId="0" applyAlignment="1" pivotButton="0" quotePrefix="0" xfId="0">
      <alignment vertical="center"/>
    </xf>
    <xf numFmtId="0" fontId="10" fillId="2" borderId="0" pivotButton="0" quotePrefix="0" xfId="0"/>
    <xf numFmtId="0" fontId="3" fillId="2" borderId="0" applyAlignment="1" pivotButton="0" quotePrefix="0" xfId="0">
      <alignment vertical="center" wrapText="1"/>
    </xf>
    <xf numFmtId="0" fontId="5" fillId="0" borderId="0" applyAlignment="1" pivotButton="0" quotePrefix="0" xfId="0">
      <alignment wrapText="1"/>
    </xf>
    <xf numFmtId="0" fontId="2" fillId="9" borderId="0" pivotButton="0" quotePrefix="0" xfId="0"/>
    <xf numFmtId="9" fontId="7" fillId="7" borderId="0" applyAlignment="1" pivotButton="0" quotePrefix="0" xfId="0">
      <alignment vertical="center" wrapText="1"/>
    </xf>
    <xf numFmtId="164" fontId="7" fillId="7" borderId="0" applyAlignment="1" pivotButton="0" quotePrefix="0" xfId="0">
      <alignment vertical="center" wrapText="1"/>
    </xf>
    <xf numFmtId="0" fontId="5" fillId="8" borderId="0" applyAlignment="1" pivotButton="0" quotePrefix="0" xfId="0">
      <alignment vertical="center" wrapText="1"/>
    </xf>
    <xf numFmtId="0" fontId="5" fillId="5" borderId="0" applyAlignment="1" pivotButton="0" quotePrefix="0" xfId="0">
      <alignment vertical="center" wrapText="1"/>
    </xf>
    <xf numFmtId="0" fontId="5" fillId="6" borderId="0" applyAlignment="1" pivotButton="0" quotePrefix="0" xfId="0">
      <alignment vertical="center" wrapText="1"/>
    </xf>
    <xf numFmtId="0" fontId="5" fillId="7" borderId="0" applyAlignment="1" pivotButton="0" quotePrefix="0" xfId="0">
      <alignment vertical="center" wrapText="1"/>
    </xf>
    <xf numFmtId="0" fontId="0" fillId="0" borderId="0" pivotButton="0" quotePrefix="0" xfId="0"/>
  </cellXfs>
  <cellStyles count="1">
    <cellStyle name="Normal" xfId="0" builtinId="0"/>
  </cellStyles>
  <dxfs count="4">
    <dxf>
      <font/>
      <fill>
        <patternFill patternType="solid">
          <fgColor rgb="FFDDF3E6"/>
          <bgColor rgb="FFDDF3E6"/>
        </patternFill>
      </fill>
      <border/>
    </dxf>
    <dxf>
      <font/>
      <fill>
        <patternFill patternType="solid">
          <fgColor rgb="FFFBE5E5"/>
          <bgColor rgb="FFFBE5E5"/>
        </patternFill>
      </fill>
      <border/>
    </dxf>
    <dxf>
      <font/>
      <fill>
        <patternFill patternType="solid">
          <fgColor rgb="FFE9F3FC"/>
          <bgColor rgb="FFE9F3FC"/>
        </patternFill>
      </fill>
      <border/>
    </dxf>
    <dxf>
      <font/>
      <fill>
        <patternFill patternType="solid">
          <fgColor rgb="FFFFF0D7"/>
          <bgColor rgb="FFFFF0D7"/>
        </patternFill>
      </fill>
      <border/>
    </dxf>
  </dxf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Carlito"/>
        <a:ea typeface="Carlito"/>
        <a:cs typeface="Carlito"/>
      </a:majorFont>
      <a:minorFont>
        <a:latin typeface="Carlito"/>
        <a:ea typeface="Carlito"/>
        <a:cs typeface="Carlito"/>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sheet1.xml><?xml version="1.0" encoding="utf-8"?>
<worksheet xmlns="http://schemas.openxmlformats.org/spreadsheetml/2006/main">
  <sheetPr>
    <outlinePr summaryBelow="1" summaryRight="1"/>
    <pageSetUpPr/>
  </sheetPr>
  <dimension ref="A1:J31"/>
  <sheetViews>
    <sheetView workbookViewId="0">
      <pane ySplit="4" topLeftCell="A5" activePane="bottomLeft" state="frozen"/>
      <selection pane="bottomLeft" activeCell="B6" sqref="B6"/>
    </sheetView>
  </sheetViews>
  <sheetFormatPr baseColWidth="8" defaultColWidth="12.63" defaultRowHeight="15" customHeight="1"/>
  <cols>
    <col width="21" customWidth="1" style="36" min="1" max="1"/>
    <col width="29" customWidth="1" style="36" min="2" max="2"/>
    <col width="20" customWidth="1" style="36" min="3" max="3"/>
    <col width="37" customWidth="1" style="36" min="4" max="4"/>
    <col width="17" customWidth="1" style="36" min="5" max="7"/>
    <col width="18" customWidth="1" style="36" min="8" max="10"/>
    <col width="8.630000000000001" customWidth="1" style="36" min="11" max="26"/>
  </cols>
  <sheetData>
    <row r="1" ht="45" customHeight="1" s="36">
      <c r="A1" s="1" t="inlineStr">
        <is>
          <t>QUANTEDGE 1.0 — TEAM PROJECT DASHBOARD</t>
        </is>
      </c>
    </row>
    <row r="2" ht="28.5" customHeight="1" s="36">
      <c r="A2" s="5" t="inlineStr">
        <is>
          <t>21 tasks | 240 subtasks | status and subtask progress</t>
        </is>
      </c>
    </row>
    <row r="3"/>
    <row r="4" ht="30.75" customHeight="1" s="36">
      <c r="A4" s="27" t="inlineStr">
        <is>
          <t>PROJECT INDICATOR</t>
        </is>
      </c>
      <c r="B4" s="27" t="inlineStr">
        <is>
          <t>VALUE</t>
        </is>
      </c>
      <c r="D4" s="27" t="inlineStr">
        <is>
          <t>TEAM MEMBER / GROUP</t>
        </is>
      </c>
      <c r="E4" s="27" t="inlineStr">
        <is>
          <t>MAIN TASKS</t>
        </is>
      </c>
      <c r="F4" s="27" t="inlineStr">
        <is>
          <t>DONE</t>
        </is>
      </c>
      <c r="G4" s="27" t="inlineStr">
        <is>
          <t>BLOCKED</t>
        </is>
      </c>
    </row>
    <row r="5" ht="31.5" customHeight="1" s="36">
      <c r="A5" s="4" t="inlineStr">
        <is>
          <t>Main tasks</t>
        </is>
      </c>
      <c r="B5" s="12">
        <f>COUNTA('Main Tasks'!$A$5:$A$400)</f>
        <v/>
      </c>
      <c r="D5" s="13" t="inlineStr">
        <is>
          <t>Malindu</t>
        </is>
      </c>
      <c r="E5" s="13">
        <f>COUNTIF('Main Tasks'!$E$5:$E$400,D5)</f>
        <v/>
      </c>
      <c r="F5" s="13">
        <f>COUNTIFS('Main Tasks'!$E$5:$E$400,D5,'Main Tasks'!$G$5:$G$400,"Done")</f>
        <v/>
      </c>
      <c r="G5" s="13">
        <f>COUNTIFS('Main Tasks'!$E$5:$E$400,D5,'Main Tasks'!$G$5:$G$400,"Blocked")</f>
        <v/>
      </c>
    </row>
    <row r="6" ht="31.5" customHeight="1" s="36">
      <c r="A6" s="4" t="inlineStr">
        <is>
          <t>Completed tasks</t>
        </is>
      </c>
      <c r="B6" s="12">
        <f>COUNTIF('Main Tasks'!$G$5:$G$400,"Done")</f>
        <v/>
      </c>
      <c r="D6" s="13" t="inlineStr">
        <is>
          <t>Raveena</t>
        </is>
      </c>
      <c r="E6" s="13">
        <f>COUNTIF('Main Tasks'!$E$5:$E$400,D6)</f>
        <v/>
      </c>
      <c r="F6" s="13">
        <f>COUNTIFS('Main Tasks'!$E$5:$E$400,D6,'Main Tasks'!$G$5:$G$400,"Done")</f>
        <v/>
      </c>
      <c r="G6" s="13">
        <f>COUNTIFS('Main Tasks'!$E$5:$E$400,D6,'Main Tasks'!$G$5:$G$400,"Blocked")</f>
        <v/>
      </c>
    </row>
    <row r="7" ht="31.5" customHeight="1" s="36">
      <c r="A7" s="4" t="inlineStr">
        <is>
          <t>In progress</t>
        </is>
      </c>
      <c r="B7" s="12">
        <f>COUNTIF('Main Tasks'!$G$5:$G$400,"In Progress")</f>
        <v/>
      </c>
      <c r="D7" s="13" t="inlineStr">
        <is>
          <t>Dewmini</t>
        </is>
      </c>
      <c r="E7" s="13">
        <f>COUNTIF('Main Tasks'!$E$5:$E$400,D7)</f>
        <v/>
      </c>
      <c r="F7" s="13">
        <f>COUNTIFS('Main Tasks'!$E$5:$E$400,D7,'Main Tasks'!$G$5:$G$400,"Done")</f>
        <v/>
      </c>
      <c r="G7" s="13">
        <f>COUNTIFS('Main Tasks'!$E$5:$E$400,D7,'Main Tasks'!$G$5:$G$400,"Blocked")</f>
        <v/>
      </c>
    </row>
    <row r="8" ht="31.5" customHeight="1" s="36">
      <c r="A8" s="4" t="inlineStr">
        <is>
          <t>Blocked tasks</t>
        </is>
      </c>
      <c r="B8" s="12">
        <f>COUNTIF('Main Tasks'!$G$5:$G$400,"Blocked")</f>
        <v/>
      </c>
      <c r="D8" s="13" t="inlineStr">
        <is>
          <t>Sujan</t>
        </is>
      </c>
      <c r="E8" s="13">
        <f>COUNTIF('Main Tasks'!$E$5:$E$400,D8)</f>
        <v/>
      </c>
      <c r="F8" s="13">
        <f>COUNTIFS('Main Tasks'!$E$5:$E$400,D8,'Main Tasks'!$G$5:$G$400,"Done")</f>
        <v/>
      </c>
      <c r="G8" s="13">
        <f>COUNTIFS('Main Tasks'!$E$5:$E$400,D8,'Main Tasks'!$G$5:$G$400,"Blocked")</f>
        <v/>
      </c>
    </row>
    <row r="9" ht="31.5" customHeight="1" s="36">
      <c r="A9" s="4" t="inlineStr">
        <is>
          <t>Subtasks complete</t>
        </is>
      </c>
      <c r="B9" s="12">
        <f>COUNTIF(Subtasks!$F$5:$F$400,"Done")</f>
        <v/>
      </c>
      <c r="D9" s="13" t="inlineStr">
        <is>
          <t>All members</t>
        </is>
      </c>
      <c r="E9" s="13">
        <f>COUNTIF('Main Tasks'!$E$5:$E$400,D9)</f>
        <v/>
      </c>
      <c r="F9" s="13">
        <f>COUNTIFS('Main Tasks'!$E$5:$E$400,D9,'Main Tasks'!$G$5:$G$400,"Done")</f>
        <v/>
      </c>
      <c r="G9" s="13">
        <f>COUNTIFS('Main Tasks'!$E$5:$E$400,D9,'Main Tasks'!$G$5:$G$400,"Blocked")</f>
        <v/>
      </c>
    </row>
    <row r="10" ht="31.5" customHeight="1" s="36">
      <c r="A10" s="4" t="inlineStr">
        <is>
          <t>Total subtasks</t>
        </is>
      </c>
      <c r="B10" s="12">
        <f>COUNTA(Subtasks!$A$5:$A$400)</f>
        <v/>
      </c>
      <c r="D10" s="13" t="inlineStr">
        <is>
          <t>—</t>
        </is>
      </c>
      <c r="E10" s="13">
        <f>COUNTIF('Main Tasks'!$E$5:$E$400,D10)</f>
        <v/>
      </c>
      <c r="F10" s="13">
        <f>COUNTIFS('Main Tasks'!$E$5:$E$400,D10,'Main Tasks'!$G$5:$G$400,"Done")</f>
        <v/>
      </c>
      <c r="G10" s="13">
        <f>COUNTIFS('Main Tasks'!$E$5:$E$400,D10,'Main Tasks'!$G$5:$G$400,"Blocked")</f>
        <v/>
      </c>
    </row>
    <row r="11" ht="31.5" customHeight="1" s="36">
      <c r="A11" s="4" t="inlineStr">
        <is>
          <t>Overall progress</t>
        </is>
      </c>
      <c r="B11" s="25">
        <f>IFERROR(B9/B10,0)</f>
        <v/>
      </c>
      <c r="D11" s="13" t="inlineStr">
        <is>
          <t>—</t>
        </is>
      </c>
      <c r="E11" s="13">
        <f>COUNTIF('Main Tasks'!$E$5:$E$400,D11)</f>
        <v/>
      </c>
      <c r="F11" s="13">
        <f>COUNTIFS('Main Tasks'!$E$5:$E$400,D11,'Main Tasks'!$G$5:$G$400,"Done")</f>
        <v/>
      </c>
      <c r="G11" s="13">
        <f>COUNTIFS('Main Tasks'!$E$5:$E$400,D11,'Main Tasks'!$G$5:$G$400,"Blocked")</f>
        <v/>
      </c>
    </row>
    <row r="12"/>
    <row r="13"/>
    <row r="14" ht="27.75" customHeight="1" s="36">
      <c r="A14" s="26" t="inlineStr">
        <is>
          <t>REVIEW FIRST — CORE DELIVERABLES</t>
        </is>
      </c>
    </row>
    <row r="15" ht="30.75" customHeight="1" s="36">
      <c r="A15" s="27" t="inlineStr">
        <is>
          <t>Task ID</t>
        </is>
      </c>
      <c r="B15" s="27" t="inlineStr">
        <is>
          <t>Core task</t>
        </is>
      </c>
      <c r="C15" s="27" t="inlineStr">
        <is>
          <t>Assigned Owner</t>
        </is>
      </c>
      <c r="D15" s="27" t="inlineStr">
        <is>
          <t>Deadline</t>
        </is>
      </c>
    </row>
    <row r="16" ht="28.5" customHeight="1" s="36">
      <c r="A16" s="28" t="inlineStr">
        <is>
          <t>T2</t>
        </is>
      </c>
      <c r="B16" s="28" t="inlineStr">
        <is>
          <t>Data pipeline and cleaning</t>
        </is>
      </c>
      <c r="C16" s="28" t="inlineStr">
        <is>
          <t>Raveena</t>
        </is>
      </c>
      <c r="D16" s="28" t="n"/>
    </row>
    <row r="17" ht="28.5" customHeight="1" s="36">
      <c r="A17" s="28" t="inlineStr">
        <is>
          <t>T3</t>
        </is>
      </c>
      <c r="B17" s="28" t="inlineStr">
        <is>
          <t>Client mandate (investment policy)</t>
        </is>
      </c>
      <c r="C17" s="28" t="inlineStr">
        <is>
          <t>Sujan</t>
        </is>
      </c>
      <c r="D17" s="28" t="n"/>
    </row>
    <row r="18" ht="28.5" customHeight="1" s="36">
      <c r="A18" s="28" t="inlineStr">
        <is>
          <t>T4</t>
        </is>
      </c>
      <c r="B18" s="28" t="inlineStr">
        <is>
          <t>Portfolio construction and selection</t>
        </is>
      </c>
      <c r="C18" s="28" t="inlineStr">
        <is>
          <t>Dewmini</t>
        </is>
      </c>
      <c r="D18" s="28" t="n"/>
    </row>
    <row r="19" ht="28.5" customHeight="1" s="36">
      <c r="A19" s="28" t="inlineStr">
        <is>
          <t>T6</t>
        </is>
      </c>
      <c r="B19" s="28" t="inlineStr">
        <is>
          <t>VaR with 3 methods</t>
        </is>
      </c>
      <c r="C19" s="28" t="inlineStr">
        <is>
          <t>Sujan</t>
        </is>
      </c>
      <c r="D19" s="28" t="n"/>
    </row>
    <row r="20" ht="28.5" customHeight="1" s="36">
      <c r="A20" s="28" t="inlineStr">
        <is>
          <t>T7</t>
        </is>
      </c>
      <c r="B20" s="28" t="inlineStr">
        <is>
          <t>Expected Shortfall</t>
        </is>
      </c>
      <c r="C20" s="28" t="inlineStr">
        <is>
          <t>Sujan</t>
        </is>
      </c>
      <c r="D20" s="28" t="n"/>
    </row>
    <row r="21" ht="28.5" customHeight="1" s="36">
      <c r="A21" s="28" t="inlineStr">
        <is>
          <t>T8</t>
        </is>
      </c>
      <c r="B21" s="28" t="inlineStr">
        <is>
          <t>EVT and GARCH</t>
        </is>
      </c>
      <c r="C21" s="28" t="inlineStr">
        <is>
          <t>Sujan</t>
        </is>
      </c>
      <c r="D21" s="28" t="n"/>
    </row>
    <row r="22" ht="28.5" customHeight="1" s="36">
      <c r="A22" s="28" t="inlineStr">
        <is>
          <t>T10</t>
        </is>
      </c>
      <c r="B22" s="28" t="inlineStr">
        <is>
          <t>Backtesting</t>
        </is>
      </c>
      <c r="C22" s="28" t="inlineStr">
        <is>
          <t>Malindu</t>
        </is>
      </c>
      <c r="D22" s="28" t="n"/>
    </row>
    <row r="23" ht="28.5" customHeight="1" s="36">
      <c r="A23" s="28" t="inlineStr">
        <is>
          <t>T11</t>
        </is>
      </c>
      <c r="B23" s="28" t="inlineStr">
        <is>
          <t>Stress testing</t>
        </is>
      </c>
      <c r="C23" s="28" t="inlineStr">
        <is>
          <t>Dewmini</t>
        </is>
      </c>
      <c r="D23" s="28" t="n"/>
    </row>
    <row r="24" ht="28.5" customHeight="1" s="36">
      <c r="A24" s="28" t="inlineStr">
        <is>
          <t>T14</t>
        </is>
      </c>
      <c r="B24" s="28" t="inlineStr">
        <is>
          <t>Streamlit app</t>
        </is>
      </c>
      <c r="C24" s="28" t="inlineStr">
        <is>
          <t>Malindu</t>
        </is>
      </c>
      <c r="D24" s="28" t="n"/>
    </row>
    <row r="25" ht="28.5" customHeight="1" s="36">
      <c r="A25" s="28" t="inlineStr">
        <is>
          <t>T15</t>
        </is>
      </c>
      <c r="B25" s="28" t="inlineStr">
        <is>
          <t>Assumptions and Limitations</t>
        </is>
      </c>
      <c r="C25" s="28" t="inlineStr">
        <is>
          <t>Raveena + Dewmini</t>
        </is>
      </c>
      <c r="D25" s="28" t="n"/>
    </row>
    <row r="26" ht="28.5" customHeight="1" s="36">
      <c r="A26" s="28" t="inlineStr">
        <is>
          <t>T16</t>
        </is>
      </c>
      <c r="B26" s="28" t="inlineStr">
        <is>
          <t>Written deliverables</t>
        </is>
      </c>
      <c r="C26" s="28" t="inlineStr">
        <is>
          <t>Raveena</t>
        </is>
      </c>
      <c r="D26" s="28" t="n"/>
    </row>
    <row r="27" ht="28.5" customHeight="1" s="36">
      <c r="A27" s="28" t="inlineStr">
        <is>
          <t>T17</t>
        </is>
      </c>
      <c r="B27" s="28" t="inlineStr">
        <is>
          <t>Repository and reproducibility</t>
        </is>
      </c>
      <c r="C27" s="28" t="inlineStr">
        <is>
          <t>Malindu</t>
        </is>
      </c>
      <c r="D27" s="28" t="n"/>
    </row>
    <row r="28" ht="28.5" customHeight="1" s="36">
      <c r="A28" s="28" t="inlineStr">
        <is>
          <t>T18</t>
        </is>
      </c>
      <c r="B28" s="28" t="inlineStr">
        <is>
          <t>AI disclosure and validation log</t>
        </is>
      </c>
      <c r="C28" s="28" t="inlineStr">
        <is>
          <t>Malindu</t>
        </is>
      </c>
      <c r="D28" s="28" t="n"/>
    </row>
    <row r="29" ht="15.75" customHeight="1" s="36">
      <c r="A29" s="28" t="inlineStr">
        <is>
          <t>T20</t>
        </is>
      </c>
      <c r="B29" s="28" t="inlineStr">
        <is>
          <t>Decision gate &amp; final recommendation (P3)</t>
        </is>
      </c>
      <c r="C29" s="28" t="inlineStr">
        <is>
          <t>All members</t>
        </is>
      </c>
      <c r="D29" s="28" t="n"/>
    </row>
    <row r="30" ht="15.75" customHeight="1" s="36">
      <c r="A30" s="28" t="inlineStr">
        <is>
          <t>T21</t>
        </is>
      </c>
      <c r="B30" s="28" t="inlineStr">
        <is>
          <t>Quality gates &amp; compliance QA</t>
        </is>
      </c>
      <c r="C30" s="28" t="inlineStr">
        <is>
          <t>Malindu</t>
        </is>
      </c>
      <c r="D30" s="28" t="n"/>
    </row>
    <row r="31" ht="30.75" customHeight="1" s="36">
      <c r="A31" s="29" t="inlineStr">
        <is>
          <t>No task deadlines have been invented. Fill due dates after the team approves a real calendar.</t>
        </is>
      </c>
    </row>
    <row r="32" ht="15.75" customHeight="1" s="36"/>
    <row r="33" ht="15.75" customHeight="1" s="36"/>
    <row r="34" ht="15.75" customHeight="1" s="36"/>
    <row r="35" ht="15.75" customHeight="1" s="36"/>
    <row r="36" ht="15.75" customHeight="1" s="36"/>
    <row r="37" ht="15.75" customHeight="1" s="36"/>
    <row r="38" ht="15.75" customHeight="1" s="36"/>
    <row r="39" ht="15.75" customHeight="1" s="36"/>
    <row r="40" ht="15.75" customHeight="1" s="36"/>
    <row r="41" ht="15.75" customHeight="1" s="36"/>
    <row r="42" ht="15.75" customHeight="1" s="36"/>
    <row r="43" ht="15.75" customHeight="1" s="36"/>
    <row r="44" ht="15.75" customHeight="1" s="36"/>
    <row r="45" ht="15.75" customHeight="1" s="36"/>
    <row r="46" ht="15.75" customHeight="1" s="36"/>
    <row r="47" ht="15.75" customHeight="1" s="36"/>
    <row r="48" ht="15.75" customHeight="1" s="36"/>
    <row r="49" ht="15.75" customHeight="1" s="36"/>
    <row r="50" ht="15.75" customHeight="1" s="36"/>
    <row r="51" ht="15.75" customHeight="1" s="36"/>
    <row r="52" ht="15.75" customHeight="1" s="36"/>
    <row r="53" ht="15.75" customHeight="1" s="36"/>
    <row r="54" ht="15.75" customHeight="1" s="36"/>
    <row r="55" ht="15.75" customHeight="1" s="36"/>
    <row r="56" ht="15.75" customHeight="1" s="36"/>
    <row r="57" ht="15.75" customHeight="1" s="36"/>
    <row r="58" ht="15.75" customHeight="1" s="36"/>
    <row r="59" ht="15.75" customHeight="1" s="36"/>
    <row r="60" ht="15.75" customHeight="1" s="36"/>
    <row r="61" ht="15.75" customHeight="1" s="36"/>
    <row r="62" ht="15.75" customHeight="1" s="36"/>
    <row r="63" ht="15.75" customHeight="1" s="36"/>
    <row r="64" ht="15.75" customHeight="1" s="36"/>
    <row r="65" ht="15.75" customHeight="1" s="36"/>
    <row r="66" ht="15.75" customHeight="1" s="36"/>
    <row r="67" ht="15.75" customHeight="1" s="36"/>
    <row r="68" ht="15.75" customHeight="1" s="36"/>
    <row r="69" ht="15.75" customHeight="1" s="36"/>
    <row r="70" ht="15.75" customHeight="1" s="36"/>
    <row r="71" ht="15.75" customHeight="1" s="36"/>
    <row r="72" ht="15.75" customHeight="1" s="36"/>
    <row r="73" ht="15.75" customHeight="1" s="36"/>
    <row r="74" ht="15.75" customHeight="1" s="36"/>
    <row r="75" ht="15.75" customHeight="1" s="36"/>
    <row r="76" ht="15.75" customHeight="1" s="36"/>
    <row r="77" ht="15.75" customHeight="1" s="36"/>
    <row r="78" ht="15.75" customHeight="1" s="36"/>
    <row r="79" ht="15.75" customHeight="1" s="36"/>
    <row r="80" ht="15.75" customHeight="1" s="36"/>
    <row r="81" ht="15.75" customHeight="1" s="36"/>
    <row r="82" ht="15.75" customHeight="1" s="36"/>
    <row r="83" ht="15.75" customHeight="1" s="36"/>
    <row r="84" ht="15.75" customHeight="1" s="36"/>
    <row r="85" ht="15.75" customHeight="1" s="36"/>
    <row r="86" ht="15.75" customHeight="1" s="36"/>
    <row r="87" ht="15.75" customHeight="1" s="36"/>
    <row r="88" ht="15.75" customHeight="1" s="36"/>
    <row r="89" ht="15.75" customHeight="1" s="36"/>
    <row r="90" ht="15.75" customHeight="1" s="36"/>
    <row r="91" ht="15.75" customHeight="1" s="36"/>
    <row r="92" ht="15.75" customHeight="1" s="36"/>
    <row r="93" ht="15.75" customHeight="1" s="36"/>
    <row r="94" ht="15.75" customHeight="1" s="36"/>
    <row r="95" ht="15.75" customHeight="1" s="36"/>
    <row r="96" ht="15.75" customHeight="1" s="36"/>
    <row r="97" ht="15.75" customHeight="1" s="36"/>
    <row r="98" ht="15.75" customHeight="1" s="36"/>
    <row r="99" ht="15.75" customHeight="1" s="36"/>
    <row r="100" ht="15.75" customHeight="1" s="36"/>
    <row r="101" ht="15.75" customHeight="1" s="36"/>
    <row r="102" ht="15.75" customHeight="1" s="36"/>
    <row r="103" ht="15.75" customHeight="1" s="36"/>
    <row r="104" ht="15.75" customHeight="1" s="36"/>
    <row r="105" ht="15.75" customHeight="1" s="36"/>
    <row r="106" ht="15.75" customHeight="1" s="36"/>
    <row r="107" ht="15.75" customHeight="1" s="36"/>
    <row r="108" ht="15.75" customHeight="1" s="36"/>
    <row r="109" ht="15.75" customHeight="1" s="36"/>
    <row r="110" ht="15.75" customHeight="1" s="36"/>
    <row r="111" ht="15.75" customHeight="1" s="36"/>
    <row r="112" ht="15.75" customHeight="1" s="36"/>
    <row r="113" ht="15.75" customHeight="1" s="36"/>
    <row r="114" ht="15.75" customHeight="1" s="36"/>
    <row r="115" ht="15.75" customHeight="1" s="36"/>
    <row r="116" ht="15.75" customHeight="1" s="36"/>
    <row r="117" ht="15.75" customHeight="1" s="36"/>
    <row r="118" ht="15.75" customHeight="1" s="36"/>
    <row r="119" ht="15.75" customHeight="1" s="36"/>
    <row r="120" ht="15.75" customHeight="1" s="36"/>
    <row r="121" ht="15.75" customHeight="1" s="36"/>
    <row r="122" ht="15.75" customHeight="1" s="36"/>
    <row r="123" ht="15.75" customHeight="1" s="36"/>
    <row r="124" ht="15.75" customHeight="1" s="36"/>
    <row r="125" ht="15.75" customHeight="1" s="36"/>
    <row r="126" ht="15.75" customHeight="1" s="36"/>
    <row r="127" ht="15.75" customHeight="1" s="36"/>
    <row r="128" ht="15.75" customHeight="1" s="36"/>
    <row r="129" ht="15.75" customHeight="1" s="36"/>
    <row r="130" ht="15.75" customHeight="1" s="36"/>
    <row r="131" ht="15.75" customHeight="1" s="36"/>
    <row r="132" ht="15.75" customHeight="1" s="36"/>
    <row r="133" ht="15.75" customHeight="1" s="36"/>
    <row r="134" ht="15.75" customHeight="1" s="36"/>
    <row r="135" ht="15.75" customHeight="1" s="36"/>
    <row r="136" ht="15.75" customHeight="1" s="36"/>
    <row r="137" ht="15.75" customHeight="1" s="36"/>
    <row r="138" ht="15.75" customHeight="1" s="36"/>
    <row r="139" ht="15.75" customHeight="1" s="36"/>
    <row r="140" ht="15.75" customHeight="1" s="36"/>
    <row r="141" ht="15.75" customHeight="1" s="36"/>
    <row r="142" ht="15.75" customHeight="1" s="36"/>
    <row r="143" ht="15.75" customHeight="1" s="36"/>
    <row r="144" ht="15.75" customHeight="1" s="36"/>
    <row r="145" ht="15.75" customHeight="1" s="36"/>
    <row r="146" ht="15.75" customHeight="1" s="36"/>
    <row r="147" ht="15.75" customHeight="1" s="36"/>
    <row r="148" ht="15.75" customHeight="1" s="36"/>
    <row r="149" ht="15.75" customHeight="1" s="36"/>
    <row r="150" ht="15.75" customHeight="1" s="36"/>
    <row r="151" ht="15.75" customHeight="1" s="36"/>
    <row r="152" ht="15.75" customHeight="1" s="36"/>
    <row r="153" ht="15.75" customHeight="1" s="36"/>
    <row r="154" ht="15.75" customHeight="1" s="36"/>
    <row r="155" ht="15.75" customHeight="1" s="36"/>
    <row r="156" ht="15.75" customHeight="1" s="36"/>
    <row r="157" ht="15.75" customHeight="1" s="36"/>
    <row r="158" ht="15.75" customHeight="1" s="36"/>
    <row r="159" ht="15.75" customHeight="1" s="36"/>
    <row r="160" ht="15.75" customHeight="1" s="36"/>
    <row r="161" ht="15.75" customHeight="1" s="36"/>
    <row r="162" ht="15.75" customHeight="1" s="36"/>
    <row r="163" ht="15.75" customHeight="1" s="36"/>
    <row r="164" ht="15.75" customHeight="1" s="36"/>
    <row r="165" ht="15.75" customHeight="1" s="36"/>
    <row r="166" ht="15.75" customHeight="1" s="36"/>
    <row r="167" ht="15.75" customHeight="1" s="36"/>
    <row r="168" ht="15.75" customHeight="1" s="36"/>
    <row r="169" ht="15.75" customHeight="1" s="36"/>
    <row r="170" ht="15.75" customHeight="1" s="36"/>
    <row r="171" ht="15.75" customHeight="1" s="36"/>
    <row r="172" ht="15.75" customHeight="1" s="36"/>
    <row r="173" ht="15.75" customHeight="1" s="36"/>
    <row r="174" ht="15.75" customHeight="1" s="36"/>
    <row r="175" ht="15.75" customHeight="1" s="36"/>
    <row r="176" ht="15.75" customHeight="1" s="36"/>
    <row r="177" ht="15.75" customHeight="1" s="36"/>
    <row r="178" ht="15.75" customHeight="1" s="36"/>
    <row r="179" ht="15.75" customHeight="1" s="36"/>
    <row r="180" ht="15.75" customHeight="1" s="36"/>
    <row r="181" ht="15.75" customHeight="1" s="36"/>
    <row r="182" ht="15.75" customHeight="1" s="36"/>
    <row r="183" ht="15.75" customHeight="1" s="36"/>
    <row r="184" ht="15.75" customHeight="1" s="36"/>
    <row r="185" ht="15.75" customHeight="1" s="36"/>
    <row r="186" ht="15.75" customHeight="1" s="36"/>
    <row r="187" ht="15.75" customHeight="1" s="36"/>
    <row r="188" ht="15.75" customHeight="1" s="36"/>
    <row r="189" ht="15.75" customHeight="1" s="36"/>
    <row r="190" ht="15.75" customHeight="1" s="36"/>
    <row r="191" ht="15.75" customHeight="1" s="36"/>
    <row r="192" ht="15.75" customHeight="1" s="36"/>
    <row r="193" ht="15.75" customHeight="1" s="36"/>
    <row r="194" ht="15.75" customHeight="1" s="36"/>
    <row r="195" ht="15.75" customHeight="1" s="36"/>
    <row r="196" ht="15.75" customHeight="1" s="36"/>
    <row r="197" ht="15.75" customHeight="1" s="36"/>
    <row r="198" ht="15.75" customHeight="1" s="36"/>
    <row r="199" ht="15.75" customHeight="1" s="36"/>
    <row r="200" ht="15.75" customHeight="1" s="36"/>
    <row r="201" ht="15.75" customHeight="1" s="36"/>
    <row r="202" ht="15.75" customHeight="1" s="36"/>
    <row r="203" ht="15.75" customHeight="1" s="36"/>
    <row r="204" ht="15.75" customHeight="1" s="36"/>
    <row r="205" ht="15.75" customHeight="1" s="36"/>
    <row r="206" ht="15.75" customHeight="1" s="36"/>
    <row r="207" ht="15.75" customHeight="1" s="36"/>
    <row r="208" ht="15.75" customHeight="1" s="36"/>
    <row r="209" ht="15.75" customHeight="1" s="36"/>
    <row r="210" ht="15.75" customHeight="1" s="36"/>
    <row r="211" ht="15.75" customHeight="1" s="36"/>
    <row r="212" ht="15.75" customHeight="1" s="36"/>
    <row r="213" ht="15.75" customHeight="1" s="36"/>
    <row r="214" ht="15.75" customHeight="1" s="36"/>
    <row r="215" ht="15.75" customHeight="1" s="36"/>
    <row r="216" ht="15.75" customHeight="1" s="36"/>
    <row r="217" ht="15.75" customHeight="1" s="36"/>
    <row r="218" ht="15.75" customHeight="1" s="36"/>
    <row r="219" ht="15.75" customHeight="1" s="36"/>
    <row r="220" ht="15.75" customHeight="1" s="36"/>
    <row r="221" ht="15.75" customHeight="1" s="36"/>
    <row r="222" ht="15.75" customHeight="1" s="36"/>
    <row r="223" ht="15.75" customHeight="1" s="36"/>
    <row r="224" ht="15.75" customHeight="1" s="36"/>
    <row r="225" ht="15.75" customHeight="1" s="36"/>
    <row r="226" ht="15.75" customHeight="1" s="36"/>
    <row r="227" ht="15.75" customHeight="1" s="36"/>
    <row r="228" ht="15.75" customHeight="1" s="36"/>
    <row r="229" ht="15.75" customHeight="1" s="36"/>
    <row r="230" ht="15.75" customHeight="1" s="36"/>
    <row r="231" ht="15.75" customHeight="1" s="36"/>
    <row r="232" ht="15.75" customHeight="1" s="36"/>
    <row r="233" ht="15.75" customHeight="1" s="36"/>
    <row r="234" ht="15.75" customHeight="1" s="36"/>
    <row r="235" ht="15.75" customHeight="1" s="36"/>
    <row r="236" ht="15.75" customHeight="1" s="36"/>
    <row r="237" ht="15.75" customHeight="1" s="36"/>
    <row r="238" ht="15.75" customHeight="1" s="36"/>
    <row r="239" ht="15.75" customHeight="1" s="36"/>
    <row r="240" ht="15.75" customHeight="1" s="36"/>
    <row r="241" ht="15.75" customHeight="1" s="36"/>
    <row r="242" ht="15.75" customHeight="1" s="36"/>
    <row r="243" ht="15.75" customHeight="1" s="36"/>
    <row r="244" ht="15.75" customHeight="1" s="36"/>
    <row r="245" ht="15.75" customHeight="1" s="36"/>
    <row r="246" ht="15.75" customHeight="1" s="36"/>
    <row r="247" ht="15.75" customHeight="1" s="36"/>
    <row r="248" ht="15.75" customHeight="1" s="36"/>
    <row r="249" ht="15.75" customHeight="1" s="36"/>
    <row r="250" ht="15.75" customHeight="1" s="36"/>
    <row r="251" ht="15.75" customHeight="1" s="36"/>
    <row r="252" ht="15.75" customHeight="1" s="36"/>
    <row r="253" ht="15.75" customHeight="1" s="36"/>
    <row r="254" ht="15.75" customHeight="1" s="36"/>
    <row r="255" ht="15.75" customHeight="1" s="36"/>
    <row r="256" ht="15.75" customHeight="1" s="36"/>
    <row r="257" ht="15.75" customHeight="1" s="36"/>
    <row r="258" ht="15.75" customHeight="1" s="36"/>
    <row r="259" ht="15.75" customHeight="1" s="36"/>
    <row r="260" ht="15.75" customHeight="1" s="36"/>
    <row r="261" ht="15.75" customHeight="1" s="36"/>
    <row r="262" ht="15.75" customHeight="1" s="36"/>
    <row r="263" ht="15.75" customHeight="1" s="36"/>
    <row r="264" ht="15.75" customHeight="1" s="36"/>
    <row r="265" ht="15.75" customHeight="1" s="36"/>
    <row r="266" ht="15.75" customHeight="1" s="36"/>
    <row r="267" ht="15.75" customHeight="1" s="36"/>
    <row r="268" ht="15.75" customHeight="1" s="36"/>
    <row r="269" ht="15.75" customHeight="1" s="36"/>
    <row r="270" ht="15.75" customHeight="1" s="36"/>
    <row r="271" ht="15.75" customHeight="1" s="36"/>
    <row r="272" ht="15.75" customHeight="1" s="36"/>
    <row r="273" ht="15.75" customHeight="1" s="36"/>
    <row r="274" ht="15.75" customHeight="1" s="36"/>
    <row r="275" ht="15.75" customHeight="1" s="36"/>
    <row r="276" ht="15.75" customHeight="1" s="36"/>
    <row r="277" ht="15.75" customHeight="1" s="36"/>
    <row r="278" ht="15.75" customHeight="1" s="36"/>
    <row r="279" ht="15.75" customHeight="1" s="36"/>
    <row r="280" ht="15.75" customHeight="1" s="36"/>
    <row r="281" ht="15.75" customHeight="1" s="36"/>
    <row r="282" ht="15.75" customHeight="1" s="36"/>
    <row r="283" ht="15.75" customHeight="1" s="36"/>
    <row r="284" ht="15.75" customHeight="1" s="36"/>
    <row r="285" ht="15.75" customHeight="1" s="36"/>
    <row r="286" ht="15.75" customHeight="1" s="36"/>
    <row r="287" ht="15.75" customHeight="1" s="36"/>
    <row r="288" ht="15.75" customHeight="1" s="36"/>
    <row r="289" ht="15.75" customHeight="1" s="36"/>
    <row r="290" ht="15.75" customHeight="1" s="36"/>
    <row r="291" ht="15.75" customHeight="1" s="36"/>
    <row r="292" ht="15.75" customHeight="1" s="36"/>
    <row r="293" ht="15.75" customHeight="1" s="36"/>
    <row r="294" ht="15.75" customHeight="1" s="36"/>
    <row r="295" ht="15.75" customHeight="1" s="36"/>
    <row r="296" ht="15.75" customHeight="1" s="36"/>
    <row r="297" ht="15.75" customHeight="1" s="36"/>
    <row r="298" ht="15.75" customHeight="1" s="36"/>
    <row r="299" ht="15.75" customHeight="1" s="36"/>
    <row r="300" ht="15.75" customHeight="1" s="36"/>
    <row r="301" ht="15.75" customHeight="1" s="36"/>
    <row r="302" ht="15.75" customHeight="1" s="36"/>
    <row r="303" ht="15.75" customHeight="1" s="36"/>
    <row r="304" ht="15.75" customHeight="1" s="36"/>
    <row r="305" ht="15.75" customHeight="1" s="36"/>
    <row r="306" ht="15.75" customHeight="1" s="36"/>
    <row r="307" ht="15.75" customHeight="1" s="36"/>
    <row r="308" ht="15.75" customHeight="1" s="36"/>
    <row r="309" ht="15.75" customHeight="1" s="36"/>
    <row r="310" ht="15.75" customHeight="1" s="36"/>
    <row r="311" ht="15.75" customHeight="1" s="36"/>
    <row r="312" ht="15.75" customHeight="1" s="36"/>
    <row r="313" ht="15.75" customHeight="1" s="36"/>
    <row r="314" ht="15.75" customHeight="1" s="36"/>
    <row r="315" ht="15.75" customHeight="1" s="36"/>
    <row r="316" ht="15.75" customHeight="1" s="36"/>
    <row r="317" ht="15.75" customHeight="1" s="36"/>
    <row r="318" ht="15.75" customHeight="1" s="36"/>
    <row r="319" ht="15.75" customHeight="1" s="36"/>
    <row r="320" ht="15.75" customHeight="1" s="36"/>
    <row r="321" ht="15.75" customHeight="1" s="36"/>
    <row r="322" ht="15.75" customHeight="1" s="36"/>
    <row r="323" ht="15.75" customHeight="1" s="36"/>
    <row r="324" ht="15.75" customHeight="1" s="36"/>
    <row r="325" ht="15.75" customHeight="1" s="36"/>
    <row r="326" ht="15.75" customHeight="1" s="36"/>
    <row r="327" ht="15.75" customHeight="1" s="36"/>
    <row r="328" ht="15.75" customHeight="1" s="36"/>
    <row r="329" ht="15.75" customHeight="1" s="36"/>
    <row r="330" ht="15.75" customHeight="1" s="36"/>
    <row r="331" ht="15.75" customHeight="1" s="36"/>
    <row r="332" ht="15.75" customHeight="1" s="36"/>
    <row r="333" ht="15.75" customHeight="1" s="36"/>
    <row r="334" ht="15.75" customHeight="1" s="36"/>
    <row r="335" ht="15.75" customHeight="1" s="36"/>
    <row r="336" ht="15.75" customHeight="1" s="36"/>
    <row r="337" ht="15.75" customHeight="1" s="36"/>
    <row r="338" ht="15.75" customHeight="1" s="36"/>
    <row r="339" ht="15.75" customHeight="1" s="36"/>
    <row r="340" ht="15.75" customHeight="1" s="36"/>
    <row r="341" ht="15.75" customHeight="1" s="36"/>
    <row r="342" ht="15.75" customHeight="1" s="36"/>
    <row r="343" ht="15.75" customHeight="1" s="36"/>
    <row r="344" ht="15.75" customHeight="1" s="36"/>
    <row r="345" ht="15.75" customHeight="1" s="36"/>
    <row r="346" ht="15.75" customHeight="1" s="36"/>
    <row r="347" ht="15.75" customHeight="1" s="36"/>
    <row r="348" ht="15.75" customHeight="1" s="36"/>
    <row r="349" ht="15.75" customHeight="1" s="36"/>
    <row r="350" ht="15.75" customHeight="1" s="36"/>
    <row r="351" ht="15.75" customHeight="1" s="36"/>
    <row r="352" ht="15.75" customHeight="1" s="36"/>
    <row r="353" ht="15.75" customHeight="1" s="36"/>
    <row r="354" ht="15.75" customHeight="1" s="36"/>
    <row r="355" ht="15.75" customHeight="1" s="36"/>
    <row r="356" ht="15.75" customHeight="1" s="36"/>
    <row r="357" ht="15.75" customHeight="1" s="36"/>
    <row r="358" ht="15.75" customHeight="1" s="36"/>
    <row r="359" ht="15.75" customHeight="1" s="36"/>
    <row r="360" ht="15.75" customHeight="1" s="36"/>
    <row r="361" ht="15.75" customHeight="1" s="36"/>
    <row r="362" ht="15.75" customHeight="1" s="36"/>
    <row r="363" ht="15.75" customHeight="1" s="36"/>
    <row r="364" ht="15.75" customHeight="1" s="36"/>
    <row r="365" ht="15.75" customHeight="1" s="36"/>
    <row r="366" ht="15.75" customHeight="1" s="36"/>
    <row r="367" ht="15.75" customHeight="1" s="36"/>
    <row r="368" ht="15.75" customHeight="1" s="36"/>
    <row r="369" ht="15.75" customHeight="1" s="36"/>
    <row r="370" ht="15.75" customHeight="1" s="36"/>
    <row r="371" ht="15.75" customHeight="1" s="36"/>
    <row r="372" ht="15.75" customHeight="1" s="36"/>
    <row r="373" ht="15.75" customHeight="1" s="36"/>
    <row r="374" ht="15.75" customHeight="1" s="36"/>
    <row r="375" ht="15.75" customHeight="1" s="36"/>
    <row r="376" ht="15.75" customHeight="1" s="36"/>
    <row r="377" ht="15.75" customHeight="1" s="36"/>
    <row r="378" ht="15.75" customHeight="1" s="36"/>
    <row r="379" ht="15.75" customHeight="1" s="36"/>
    <row r="380" ht="15.75" customHeight="1" s="36"/>
    <row r="381" ht="15.75" customHeight="1" s="36"/>
    <row r="382" ht="15.75" customHeight="1" s="36"/>
    <row r="383" ht="15.75" customHeight="1" s="36"/>
    <row r="384" ht="15.75" customHeight="1" s="36"/>
    <row r="385" ht="15.75" customHeight="1" s="36"/>
    <row r="386" ht="15.75" customHeight="1" s="36"/>
    <row r="387" ht="15.75" customHeight="1" s="36"/>
    <row r="388" ht="15.75" customHeight="1" s="36"/>
    <row r="389" ht="15.75" customHeight="1" s="36"/>
    <row r="390" ht="15.75" customHeight="1" s="36"/>
    <row r="391" ht="15.75" customHeight="1" s="36"/>
    <row r="392" ht="15.75" customHeight="1" s="36"/>
    <row r="393" ht="15.75" customHeight="1" s="36"/>
    <row r="394" ht="15.75" customHeight="1" s="36"/>
    <row r="395" ht="15.75" customHeight="1" s="36"/>
    <row r="396" ht="15.75" customHeight="1" s="36"/>
    <row r="397" ht="15.75" customHeight="1" s="36"/>
    <row r="398" ht="15.75" customHeight="1" s="36"/>
    <row r="399" ht="15.75" customHeight="1" s="36"/>
    <row r="400" ht="15.75" customHeight="1" s="36"/>
    <row r="401" ht="15.75" customHeight="1" s="36"/>
    <row r="402" ht="15.75" customHeight="1" s="36"/>
    <row r="403" ht="15.75" customHeight="1" s="36"/>
    <row r="404" ht="15.75" customHeight="1" s="36"/>
    <row r="405" ht="15.75" customHeight="1" s="36"/>
    <row r="406" ht="15.75" customHeight="1" s="36"/>
    <row r="407" ht="15.75" customHeight="1" s="36"/>
    <row r="408" ht="15.75" customHeight="1" s="36"/>
    <row r="409" ht="15.75" customHeight="1" s="36"/>
    <row r="410" ht="15.75" customHeight="1" s="36"/>
    <row r="411" ht="15.75" customHeight="1" s="36"/>
    <row r="412" ht="15.75" customHeight="1" s="36"/>
    <row r="413" ht="15.75" customHeight="1" s="36"/>
    <row r="414" ht="15.75" customHeight="1" s="36"/>
    <row r="415" ht="15.75" customHeight="1" s="36"/>
    <row r="416" ht="15.75" customHeight="1" s="36"/>
    <row r="417" ht="15.75" customHeight="1" s="36"/>
    <row r="418" ht="15.75" customHeight="1" s="36"/>
    <row r="419" ht="15.75" customHeight="1" s="36"/>
    <row r="420" ht="15.75" customHeight="1" s="36"/>
    <row r="421" ht="15.75" customHeight="1" s="36"/>
    <row r="422" ht="15.75" customHeight="1" s="36"/>
    <row r="423" ht="15.75" customHeight="1" s="36"/>
    <row r="424" ht="15.75" customHeight="1" s="36"/>
    <row r="425" ht="15.75" customHeight="1" s="36"/>
    <row r="426" ht="15.75" customHeight="1" s="36"/>
    <row r="427" ht="15.75" customHeight="1" s="36"/>
    <row r="428" ht="15.75" customHeight="1" s="36"/>
    <row r="429" ht="15.75" customHeight="1" s="36"/>
    <row r="430" ht="15.75" customHeight="1" s="36"/>
    <row r="431" ht="15.75" customHeight="1" s="36"/>
    <row r="432" ht="15.75" customHeight="1" s="36"/>
    <row r="433" ht="15.75" customHeight="1" s="36"/>
    <row r="434" ht="15.75" customHeight="1" s="36"/>
    <row r="435" ht="15.75" customHeight="1" s="36"/>
    <row r="436" ht="15.75" customHeight="1" s="36"/>
    <row r="437" ht="15.75" customHeight="1" s="36"/>
    <row r="438" ht="15.75" customHeight="1" s="36"/>
    <row r="439" ht="15.75" customHeight="1" s="36"/>
    <row r="440" ht="15.75" customHeight="1" s="36"/>
    <row r="441" ht="15.75" customHeight="1" s="36"/>
    <row r="442" ht="15.75" customHeight="1" s="36"/>
    <row r="443" ht="15.75" customHeight="1" s="36"/>
    <row r="444" ht="15.75" customHeight="1" s="36"/>
    <row r="445" ht="15.75" customHeight="1" s="36"/>
    <row r="446" ht="15.75" customHeight="1" s="36"/>
    <row r="447" ht="15.75" customHeight="1" s="36"/>
    <row r="448" ht="15.75" customHeight="1" s="36"/>
    <row r="449" ht="15.75" customHeight="1" s="36"/>
    <row r="450" ht="15.75" customHeight="1" s="36"/>
    <row r="451" ht="15.75" customHeight="1" s="36"/>
    <row r="452" ht="15.75" customHeight="1" s="36"/>
    <row r="453" ht="15.75" customHeight="1" s="36"/>
    <row r="454" ht="15.75" customHeight="1" s="36"/>
    <row r="455" ht="15.75" customHeight="1" s="36"/>
    <row r="456" ht="15.75" customHeight="1" s="36"/>
    <row r="457" ht="15.75" customHeight="1" s="36"/>
    <row r="458" ht="15.75" customHeight="1" s="36"/>
    <row r="459" ht="15.75" customHeight="1" s="36"/>
    <row r="460" ht="15.75" customHeight="1" s="36"/>
    <row r="461" ht="15.75" customHeight="1" s="36"/>
    <row r="462" ht="15.75" customHeight="1" s="36"/>
    <row r="463" ht="15.75" customHeight="1" s="36"/>
    <row r="464" ht="15.75" customHeight="1" s="36"/>
    <row r="465" ht="15.75" customHeight="1" s="36"/>
    <row r="466" ht="15.75" customHeight="1" s="36"/>
    <row r="467" ht="15.75" customHeight="1" s="36"/>
    <row r="468" ht="15.75" customHeight="1" s="36"/>
    <row r="469" ht="15.75" customHeight="1" s="36"/>
    <row r="470" ht="15.75" customHeight="1" s="36"/>
    <row r="471" ht="15.75" customHeight="1" s="36"/>
    <row r="472" ht="15.75" customHeight="1" s="36"/>
    <row r="473" ht="15.75" customHeight="1" s="36"/>
    <row r="474" ht="15.75" customHeight="1" s="36"/>
    <row r="475" ht="15.75" customHeight="1" s="36"/>
    <row r="476" ht="15.75" customHeight="1" s="36"/>
    <row r="477" ht="15.75" customHeight="1" s="36"/>
    <row r="478" ht="15.75" customHeight="1" s="36"/>
    <row r="479" ht="15.75" customHeight="1" s="36"/>
    <row r="480" ht="15.75" customHeight="1" s="36"/>
    <row r="481" ht="15.75" customHeight="1" s="36"/>
    <row r="482" ht="15.75" customHeight="1" s="36"/>
    <row r="483" ht="15.75" customHeight="1" s="36"/>
    <row r="484" ht="15.75" customHeight="1" s="36"/>
    <row r="485" ht="15.75" customHeight="1" s="36"/>
    <row r="486" ht="15.75" customHeight="1" s="36"/>
    <row r="487" ht="15.75" customHeight="1" s="36"/>
    <row r="488" ht="15.75" customHeight="1" s="36"/>
    <row r="489" ht="15.75" customHeight="1" s="36"/>
    <row r="490" ht="15.75" customHeight="1" s="36"/>
    <row r="491" ht="15.75" customHeight="1" s="36"/>
    <row r="492" ht="15.75" customHeight="1" s="36"/>
    <row r="493" ht="15.75" customHeight="1" s="36"/>
    <row r="494" ht="15.75" customHeight="1" s="36"/>
    <row r="495" ht="15.75" customHeight="1" s="36"/>
    <row r="496" ht="15.75" customHeight="1" s="36"/>
    <row r="497" ht="15.75" customHeight="1" s="36"/>
    <row r="498" ht="15.75" customHeight="1" s="36"/>
    <row r="499" ht="15.75" customHeight="1" s="36"/>
    <row r="500" ht="15.75" customHeight="1" s="36"/>
    <row r="501" ht="15.75" customHeight="1" s="36"/>
    <row r="502" ht="15.75" customHeight="1" s="36"/>
    <row r="503" ht="15.75" customHeight="1" s="36"/>
    <row r="504" ht="15.75" customHeight="1" s="36"/>
    <row r="505" ht="15.75" customHeight="1" s="36"/>
    <row r="506" ht="15.75" customHeight="1" s="36"/>
    <row r="507" ht="15.75" customHeight="1" s="36"/>
    <row r="508" ht="15.75" customHeight="1" s="36"/>
    <row r="509" ht="15.75" customHeight="1" s="36"/>
    <row r="510" ht="15.75" customHeight="1" s="36"/>
    <row r="511" ht="15.75" customHeight="1" s="36"/>
    <row r="512" ht="15.75" customHeight="1" s="36"/>
    <row r="513" ht="15.75" customHeight="1" s="36"/>
    <row r="514" ht="15.75" customHeight="1" s="36"/>
    <row r="515" ht="15.75" customHeight="1" s="36"/>
    <row r="516" ht="15.75" customHeight="1" s="36"/>
    <row r="517" ht="15.75" customHeight="1" s="36"/>
    <row r="518" ht="15.75" customHeight="1" s="36"/>
    <row r="519" ht="15.75" customHeight="1" s="36"/>
    <row r="520" ht="15.75" customHeight="1" s="36"/>
    <row r="521" ht="15.75" customHeight="1" s="36"/>
    <row r="522" ht="15.75" customHeight="1" s="36"/>
    <row r="523" ht="15.75" customHeight="1" s="36"/>
    <row r="524" ht="15.75" customHeight="1" s="36"/>
    <row r="525" ht="15.75" customHeight="1" s="36"/>
    <row r="526" ht="15.75" customHeight="1" s="36"/>
    <row r="527" ht="15.75" customHeight="1" s="36"/>
    <row r="528" ht="15.75" customHeight="1" s="36"/>
    <row r="529" ht="15.75" customHeight="1" s="36"/>
    <row r="530" ht="15.75" customHeight="1" s="36"/>
    <row r="531" ht="15.75" customHeight="1" s="36"/>
    <row r="532" ht="15.75" customHeight="1" s="36"/>
    <row r="533" ht="15.75" customHeight="1" s="36"/>
    <row r="534" ht="15.75" customHeight="1" s="36"/>
    <row r="535" ht="15.75" customHeight="1" s="36"/>
    <row r="536" ht="15.75" customHeight="1" s="36"/>
    <row r="537" ht="15.75" customHeight="1" s="36"/>
    <row r="538" ht="15.75" customHeight="1" s="36"/>
    <row r="539" ht="15.75" customHeight="1" s="36"/>
    <row r="540" ht="15.75" customHeight="1" s="36"/>
    <row r="541" ht="15.75" customHeight="1" s="36"/>
    <row r="542" ht="15.75" customHeight="1" s="36"/>
    <row r="543" ht="15.75" customHeight="1" s="36"/>
    <row r="544" ht="15.75" customHeight="1" s="36"/>
    <row r="545" ht="15.75" customHeight="1" s="36"/>
    <row r="546" ht="15.75" customHeight="1" s="36"/>
    <row r="547" ht="15.75" customHeight="1" s="36"/>
    <row r="548" ht="15.75" customHeight="1" s="36"/>
    <row r="549" ht="15.75" customHeight="1" s="36"/>
    <row r="550" ht="15.75" customHeight="1" s="36"/>
    <row r="551" ht="15.75" customHeight="1" s="36"/>
    <row r="552" ht="15.75" customHeight="1" s="36"/>
    <row r="553" ht="15.75" customHeight="1" s="36"/>
    <row r="554" ht="15.75" customHeight="1" s="36"/>
    <row r="555" ht="15.75" customHeight="1" s="36"/>
    <row r="556" ht="15.75" customHeight="1" s="36"/>
    <row r="557" ht="15.75" customHeight="1" s="36"/>
    <row r="558" ht="15.75" customHeight="1" s="36"/>
    <row r="559" ht="15.75" customHeight="1" s="36"/>
    <row r="560" ht="15.75" customHeight="1" s="36"/>
    <row r="561" ht="15.75" customHeight="1" s="36"/>
    <row r="562" ht="15.75" customHeight="1" s="36"/>
    <row r="563" ht="15.75" customHeight="1" s="36"/>
    <row r="564" ht="15.75" customHeight="1" s="36"/>
    <row r="565" ht="15.75" customHeight="1" s="36"/>
    <row r="566" ht="15.75" customHeight="1" s="36"/>
    <row r="567" ht="15.75" customHeight="1" s="36"/>
    <row r="568" ht="15.75" customHeight="1" s="36"/>
    <row r="569" ht="15.75" customHeight="1" s="36"/>
    <row r="570" ht="15.75" customHeight="1" s="36"/>
    <row r="571" ht="15.75" customHeight="1" s="36"/>
    <row r="572" ht="15.75" customHeight="1" s="36"/>
    <row r="573" ht="15.75" customHeight="1" s="36"/>
    <row r="574" ht="15.75" customHeight="1" s="36"/>
    <row r="575" ht="15.75" customHeight="1" s="36"/>
    <row r="576" ht="15.75" customHeight="1" s="36"/>
    <row r="577" ht="15.75" customHeight="1" s="36"/>
    <row r="578" ht="15.75" customHeight="1" s="36"/>
    <row r="579" ht="15.75" customHeight="1" s="36"/>
    <row r="580" ht="15.75" customHeight="1" s="36"/>
    <row r="581" ht="15.75" customHeight="1" s="36"/>
    <row r="582" ht="15.75" customHeight="1" s="36"/>
    <row r="583" ht="15.75" customHeight="1" s="36"/>
    <row r="584" ht="15.75" customHeight="1" s="36"/>
    <row r="585" ht="15.75" customHeight="1" s="36"/>
    <row r="586" ht="15.75" customHeight="1" s="36"/>
    <row r="587" ht="15.75" customHeight="1" s="36"/>
    <row r="588" ht="15.75" customHeight="1" s="36"/>
    <row r="589" ht="15.75" customHeight="1" s="36"/>
    <row r="590" ht="15.75" customHeight="1" s="36"/>
    <row r="591" ht="15.75" customHeight="1" s="36"/>
    <row r="592" ht="15.75" customHeight="1" s="36"/>
    <row r="593" ht="15.75" customHeight="1" s="36"/>
    <row r="594" ht="15.75" customHeight="1" s="36"/>
    <row r="595" ht="15.75" customHeight="1" s="36"/>
    <row r="596" ht="15.75" customHeight="1" s="36"/>
    <row r="597" ht="15.75" customHeight="1" s="36"/>
    <row r="598" ht="15.75" customHeight="1" s="36"/>
    <row r="599" ht="15.75" customHeight="1" s="36"/>
    <row r="600" ht="15.75" customHeight="1" s="36"/>
    <row r="601" ht="15.75" customHeight="1" s="36"/>
    <row r="602" ht="15.75" customHeight="1" s="36"/>
    <row r="603" ht="15.75" customHeight="1" s="36"/>
    <row r="604" ht="15.75" customHeight="1" s="36"/>
    <row r="605" ht="15.75" customHeight="1" s="36"/>
    <row r="606" ht="15.75" customHeight="1" s="36"/>
    <row r="607" ht="15.75" customHeight="1" s="36"/>
    <row r="608" ht="15.75" customHeight="1" s="36"/>
    <row r="609" ht="15.75" customHeight="1" s="36"/>
    <row r="610" ht="15.75" customHeight="1" s="36"/>
    <row r="611" ht="15.75" customHeight="1" s="36"/>
    <row r="612" ht="15.75" customHeight="1" s="36"/>
    <row r="613" ht="15.75" customHeight="1" s="36"/>
    <row r="614" ht="15.75" customHeight="1" s="36"/>
    <row r="615" ht="15.75" customHeight="1" s="36"/>
    <row r="616" ht="15.75" customHeight="1" s="36"/>
    <row r="617" ht="15.75" customHeight="1" s="36"/>
    <row r="618" ht="15.75" customHeight="1" s="36"/>
    <row r="619" ht="15.75" customHeight="1" s="36"/>
    <row r="620" ht="15.75" customHeight="1" s="36"/>
    <row r="621" ht="15.75" customHeight="1" s="36"/>
    <row r="622" ht="15.75" customHeight="1" s="36"/>
    <row r="623" ht="15.75" customHeight="1" s="36"/>
    <row r="624" ht="15.75" customHeight="1" s="36"/>
    <row r="625" ht="15.75" customHeight="1" s="36"/>
    <row r="626" ht="15.75" customHeight="1" s="36"/>
    <row r="627" ht="15.75" customHeight="1" s="36"/>
    <row r="628" ht="15.75" customHeight="1" s="36"/>
    <row r="629" ht="15.75" customHeight="1" s="36"/>
    <row r="630" ht="15.75" customHeight="1" s="36"/>
    <row r="631" ht="15.75" customHeight="1" s="36"/>
    <row r="632" ht="15.75" customHeight="1" s="36"/>
    <row r="633" ht="15.75" customHeight="1" s="36"/>
    <row r="634" ht="15.75" customHeight="1" s="36"/>
    <row r="635" ht="15.75" customHeight="1" s="36"/>
    <row r="636" ht="15.75" customHeight="1" s="36"/>
    <row r="637" ht="15.75" customHeight="1" s="36"/>
    <row r="638" ht="15.75" customHeight="1" s="36"/>
    <row r="639" ht="15.75" customHeight="1" s="36"/>
    <row r="640" ht="15.75" customHeight="1" s="36"/>
    <row r="641" ht="15.75" customHeight="1" s="36"/>
    <row r="642" ht="15.75" customHeight="1" s="36"/>
    <row r="643" ht="15.75" customHeight="1" s="36"/>
    <row r="644" ht="15.75" customHeight="1" s="36"/>
    <row r="645" ht="15.75" customHeight="1" s="36"/>
    <row r="646" ht="15.75" customHeight="1" s="36"/>
    <row r="647" ht="15.75" customHeight="1" s="36"/>
    <row r="648" ht="15.75" customHeight="1" s="36"/>
    <row r="649" ht="15.75" customHeight="1" s="36"/>
    <row r="650" ht="15.75" customHeight="1" s="36"/>
    <row r="651" ht="15.75" customHeight="1" s="36"/>
    <row r="652" ht="15.75" customHeight="1" s="36"/>
    <row r="653" ht="15.75" customHeight="1" s="36"/>
    <row r="654" ht="15.75" customHeight="1" s="36"/>
    <row r="655" ht="15.75" customHeight="1" s="36"/>
    <row r="656" ht="15.75" customHeight="1" s="36"/>
    <row r="657" ht="15.75" customHeight="1" s="36"/>
    <row r="658" ht="15.75" customHeight="1" s="36"/>
    <row r="659" ht="15.75" customHeight="1" s="36"/>
    <row r="660" ht="15.75" customHeight="1" s="36"/>
    <row r="661" ht="15.75" customHeight="1" s="36"/>
    <row r="662" ht="15.75" customHeight="1" s="36"/>
    <row r="663" ht="15.75" customHeight="1" s="36"/>
    <row r="664" ht="15.75" customHeight="1" s="36"/>
    <row r="665" ht="15.75" customHeight="1" s="36"/>
    <row r="666" ht="15.75" customHeight="1" s="36"/>
    <row r="667" ht="15.75" customHeight="1" s="36"/>
    <row r="668" ht="15.75" customHeight="1" s="36"/>
    <row r="669" ht="15.75" customHeight="1" s="36"/>
    <row r="670" ht="15.75" customHeight="1" s="36"/>
    <row r="671" ht="15.75" customHeight="1" s="36"/>
    <row r="672" ht="15.75" customHeight="1" s="36"/>
    <row r="673" ht="15.75" customHeight="1" s="36"/>
    <row r="674" ht="15.75" customHeight="1" s="36"/>
    <row r="675" ht="15.75" customHeight="1" s="36"/>
    <row r="676" ht="15.75" customHeight="1" s="36"/>
    <row r="677" ht="15.75" customHeight="1" s="36"/>
    <row r="678" ht="15.75" customHeight="1" s="36"/>
    <row r="679" ht="15.75" customHeight="1" s="36"/>
    <row r="680" ht="15.75" customHeight="1" s="36"/>
    <row r="681" ht="15.75" customHeight="1" s="36"/>
    <row r="682" ht="15.75" customHeight="1" s="36"/>
    <row r="683" ht="15.75" customHeight="1" s="36"/>
    <row r="684" ht="15.75" customHeight="1" s="36"/>
    <row r="685" ht="15.75" customHeight="1" s="36"/>
    <row r="686" ht="15.75" customHeight="1" s="36"/>
    <row r="687" ht="15.75" customHeight="1" s="36"/>
    <row r="688" ht="15.75" customHeight="1" s="36"/>
    <row r="689" ht="15.75" customHeight="1" s="36"/>
    <row r="690" ht="15.75" customHeight="1" s="36"/>
    <row r="691" ht="15.75" customHeight="1" s="36"/>
    <row r="692" ht="15.75" customHeight="1" s="36"/>
    <row r="693" ht="15.75" customHeight="1" s="36"/>
    <row r="694" ht="15.75" customHeight="1" s="36"/>
    <row r="695" ht="15.75" customHeight="1" s="36"/>
    <row r="696" ht="15.75" customHeight="1" s="36"/>
    <row r="697" ht="15.75" customHeight="1" s="36"/>
    <row r="698" ht="15.75" customHeight="1" s="36"/>
    <row r="699" ht="15.75" customHeight="1" s="36"/>
    <row r="700" ht="15.75" customHeight="1" s="36"/>
    <row r="701" ht="15.75" customHeight="1" s="36"/>
    <row r="702" ht="15.75" customHeight="1" s="36"/>
    <row r="703" ht="15.75" customHeight="1" s="36"/>
    <row r="704" ht="15.75" customHeight="1" s="36"/>
    <row r="705" ht="15.75" customHeight="1" s="36"/>
    <row r="706" ht="15.75" customHeight="1" s="36"/>
    <row r="707" ht="15.75" customHeight="1" s="36"/>
    <row r="708" ht="15.75" customHeight="1" s="36"/>
    <row r="709" ht="15.75" customHeight="1" s="36"/>
    <row r="710" ht="15.75" customHeight="1" s="36"/>
    <row r="711" ht="15.75" customHeight="1" s="36"/>
    <row r="712" ht="15.75" customHeight="1" s="36"/>
    <row r="713" ht="15.75" customHeight="1" s="36"/>
    <row r="714" ht="15.75" customHeight="1" s="36"/>
    <row r="715" ht="15.75" customHeight="1" s="36"/>
    <row r="716" ht="15.75" customHeight="1" s="36"/>
    <row r="717" ht="15.75" customHeight="1" s="36"/>
    <row r="718" ht="15.75" customHeight="1" s="36"/>
    <row r="719" ht="15.75" customHeight="1" s="36"/>
    <row r="720" ht="15.75" customHeight="1" s="36"/>
    <row r="721" ht="15.75" customHeight="1" s="36"/>
    <row r="722" ht="15.75" customHeight="1" s="36"/>
    <row r="723" ht="15.75" customHeight="1" s="36"/>
    <row r="724" ht="15.75" customHeight="1" s="36"/>
    <row r="725" ht="15.75" customHeight="1" s="36"/>
    <row r="726" ht="15.75" customHeight="1" s="36"/>
    <row r="727" ht="15.75" customHeight="1" s="36"/>
    <row r="728" ht="15.75" customHeight="1" s="36"/>
    <row r="729" ht="15.75" customHeight="1" s="36"/>
    <row r="730" ht="15.75" customHeight="1" s="36"/>
    <row r="731" ht="15.75" customHeight="1" s="36"/>
    <row r="732" ht="15.75" customHeight="1" s="36"/>
    <row r="733" ht="15.75" customHeight="1" s="36"/>
    <row r="734" ht="15.75" customHeight="1" s="36"/>
    <row r="735" ht="15.75" customHeight="1" s="36"/>
    <row r="736" ht="15.75" customHeight="1" s="36"/>
    <row r="737" ht="15.75" customHeight="1" s="36"/>
    <row r="738" ht="15.75" customHeight="1" s="36"/>
    <row r="739" ht="15.75" customHeight="1" s="36"/>
    <row r="740" ht="15.75" customHeight="1" s="36"/>
    <row r="741" ht="15.75" customHeight="1" s="36"/>
    <row r="742" ht="15.75" customHeight="1" s="36"/>
    <row r="743" ht="15.75" customHeight="1" s="36"/>
    <row r="744" ht="15.75" customHeight="1" s="36"/>
    <row r="745" ht="15.75" customHeight="1" s="36"/>
    <row r="746" ht="15.75" customHeight="1" s="36"/>
    <row r="747" ht="15.75" customHeight="1" s="36"/>
    <row r="748" ht="15.75" customHeight="1" s="36"/>
    <row r="749" ht="15.75" customHeight="1" s="36"/>
    <row r="750" ht="15.75" customHeight="1" s="36"/>
    <row r="751" ht="15.75" customHeight="1" s="36"/>
    <row r="752" ht="15.75" customHeight="1" s="36"/>
    <row r="753" ht="15.75" customHeight="1" s="36"/>
    <row r="754" ht="15.75" customHeight="1" s="36"/>
    <row r="755" ht="15.75" customHeight="1" s="36"/>
    <row r="756" ht="15.75" customHeight="1" s="36"/>
    <row r="757" ht="15.75" customHeight="1" s="36"/>
    <row r="758" ht="15.75" customHeight="1" s="36"/>
    <row r="759" ht="15.75" customHeight="1" s="36"/>
    <row r="760" ht="15.75" customHeight="1" s="36"/>
    <row r="761" ht="15.75" customHeight="1" s="36"/>
    <row r="762" ht="15.75" customHeight="1" s="36"/>
    <row r="763" ht="15.75" customHeight="1" s="36"/>
    <row r="764" ht="15.75" customHeight="1" s="36"/>
    <row r="765" ht="15.75" customHeight="1" s="36"/>
    <row r="766" ht="15.75" customHeight="1" s="36"/>
    <row r="767" ht="15.75" customHeight="1" s="36"/>
    <row r="768" ht="15.75" customHeight="1" s="36"/>
    <row r="769" ht="15.75" customHeight="1" s="36"/>
    <row r="770" ht="15.75" customHeight="1" s="36"/>
    <row r="771" ht="15.75" customHeight="1" s="36"/>
    <row r="772" ht="15.75" customHeight="1" s="36"/>
    <row r="773" ht="15.75" customHeight="1" s="36"/>
    <row r="774" ht="15.75" customHeight="1" s="36"/>
    <row r="775" ht="15.75" customHeight="1" s="36"/>
    <row r="776" ht="15.75" customHeight="1" s="36"/>
    <row r="777" ht="15.75" customHeight="1" s="36"/>
    <row r="778" ht="15.75" customHeight="1" s="36"/>
    <row r="779" ht="15.75" customHeight="1" s="36"/>
    <row r="780" ht="15.75" customHeight="1" s="36"/>
    <row r="781" ht="15.75" customHeight="1" s="36"/>
    <row r="782" ht="15.75" customHeight="1" s="36"/>
    <row r="783" ht="15.75" customHeight="1" s="36"/>
    <row r="784" ht="15.75" customHeight="1" s="36"/>
    <row r="785" ht="15.75" customHeight="1" s="36"/>
    <row r="786" ht="15.75" customHeight="1" s="36"/>
    <row r="787" ht="15.75" customHeight="1" s="36"/>
    <row r="788" ht="15.75" customHeight="1" s="36"/>
    <row r="789" ht="15.75" customHeight="1" s="36"/>
    <row r="790" ht="15.75" customHeight="1" s="36"/>
    <row r="791" ht="15.75" customHeight="1" s="36"/>
    <row r="792" ht="15.75" customHeight="1" s="36"/>
    <row r="793" ht="15.75" customHeight="1" s="36"/>
    <row r="794" ht="15.75" customHeight="1" s="36"/>
    <row r="795" ht="15.75" customHeight="1" s="36"/>
    <row r="796" ht="15.75" customHeight="1" s="36"/>
    <row r="797" ht="15.75" customHeight="1" s="36"/>
    <row r="798" ht="15.75" customHeight="1" s="36"/>
    <row r="799" ht="15.75" customHeight="1" s="36"/>
    <row r="800" ht="15.75" customHeight="1" s="36"/>
    <row r="801" ht="15.75" customHeight="1" s="36"/>
    <row r="802" ht="15.75" customHeight="1" s="36"/>
    <row r="803" ht="15.75" customHeight="1" s="36"/>
    <row r="804" ht="15.75" customHeight="1" s="36"/>
    <row r="805" ht="15.75" customHeight="1" s="36"/>
    <row r="806" ht="15.75" customHeight="1" s="36"/>
    <row r="807" ht="15.75" customHeight="1" s="36"/>
    <row r="808" ht="15.75" customHeight="1" s="36"/>
    <row r="809" ht="15.75" customHeight="1" s="36"/>
    <row r="810" ht="15.75" customHeight="1" s="36"/>
    <row r="811" ht="15.75" customHeight="1" s="36"/>
    <row r="812" ht="15.75" customHeight="1" s="36"/>
    <row r="813" ht="15.75" customHeight="1" s="36"/>
    <row r="814" ht="15.75" customHeight="1" s="36"/>
    <row r="815" ht="15.75" customHeight="1" s="36"/>
    <row r="816" ht="15.75" customHeight="1" s="36"/>
    <row r="817" ht="15.75" customHeight="1" s="36"/>
    <row r="818" ht="15.75" customHeight="1" s="36"/>
    <row r="819" ht="15.75" customHeight="1" s="36"/>
    <row r="820" ht="15.75" customHeight="1" s="36"/>
    <row r="821" ht="15.75" customHeight="1" s="36"/>
    <row r="822" ht="15.75" customHeight="1" s="36"/>
    <row r="823" ht="15.75" customHeight="1" s="36"/>
    <row r="824" ht="15.75" customHeight="1" s="36"/>
    <row r="825" ht="15.75" customHeight="1" s="36"/>
    <row r="826" ht="15.75" customHeight="1" s="36"/>
    <row r="827" ht="15.75" customHeight="1" s="36"/>
    <row r="828" ht="15.75" customHeight="1" s="36"/>
    <row r="829" ht="15.75" customHeight="1" s="36"/>
    <row r="830" ht="15.75" customHeight="1" s="36"/>
    <row r="831" ht="15.75" customHeight="1" s="36"/>
    <row r="832" ht="15.75" customHeight="1" s="36"/>
    <row r="833" ht="15.75" customHeight="1" s="36"/>
    <row r="834" ht="15.75" customHeight="1" s="36"/>
    <row r="835" ht="15.75" customHeight="1" s="36"/>
    <row r="836" ht="15.75" customHeight="1" s="36"/>
    <row r="837" ht="15.75" customHeight="1" s="36"/>
    <row r="838" ht="15.75" customHeight="1" s="36"/>
    <row r="839" ht="15.75" customHeight="1" s="36"/>
    <row r="840" ht="15.75" customHeight="1" s="36"/>
    <row r="841" ht="15.75" customHeight="1" s="36"/>
    <row r="842" ht="15.75" customHeight="1" s="36"/>
    <row r="843" ht="15.75" customHeight="1" s="36"/>
    <row r="844" ht="15.75" customHeight="1" s="36"/>
    <row r="845" ht="15.75" customHeight="1" s="36"/>
    <row r="846" ht="15.75" customHeight="1" s="36"/>
    <row r="847" ht="15.75" customHeight="1" s="36"/>
    <row r="848" ht="15.75" customHeight="1" s="36"/>
    <row r="849" ht="15.75" customHeight="1" s="36"/>
    <row r="850" ht="15.75" customHeight="1" s="36"/>
    <row r="851" ht="15.75" customHeight="1" s="36"/>
    <row r="852" ht="15.75" customHeight="1" s="36"/>
    <row r="853" ht="15.75" customHeight="1" s="36"/>
    <row r="854" ht="15.75" customHeight="1" s="36"/>
    <row r="855" ht="15.75" customHeight="1" s="36"/>
    <row r="856" ht="15.75" customHeight="1" s="36"/>
    <row r="857" ht="15.75" customHeight="1" s="36"/>
    <row r="858" ht="15.75" customHeight="1" s="36"/>
    <row r="859" ht="15.75" customHeight="1" s="36"/>
    <row r="860" ht="15.75" customHeight="1" s="36"/>
    <row r="861" ht="15.75" customHeight="1" s="36"/>
    <row r="862" ht="15.75" customHeight="1" s="36"/>
    <row r="863" ht="15.75" customHeight="1" s="36"/>
    <row r="864" ht="15.75" customHeight="1" s="36"/>
    <row r="865" ht="15.75" customHeight="1" s="36"/>
    <row r="866" ht="15.75" customHeight="1" s="36"/>
    <row r="867" ht="15.75" customHeight="1" s="36"/>
    <row r="868" ht="15.75" customHeight="1" s="36"/>
    <row r="869" ht="15.75" customHeight="1" s="36"/>
    <row r="870" ht="15.75" customHeight="1" s="36"/>
    <row r="871" ht="15.75" customHeight="1" s="36"/>
    <row r="872" ht="15.75" customHeight="1" s="36"/>
    <row r="873" ht="15.75" customHeight="1" s="36"/>
    <row r="874" ht="15.75" customHeight="1" s="36"/>
    <row r="875" ht="15.75" customHeight="1" s="36"/>
    <row r="876" ht="15.75" customHeight="1" s="36"/>
    <row r="877" ht="15.75" customHeight="1" s="36"/>
    <row r="878" ht="15.75" customHeight="1" s="36"/>
    <row r="879" ht="15.75" customHeight="1" s="36"/>
    <row r="880" ht="15.75" customHeight="1" s="36"/>
    <row r="881" ht="15.75" customHeight="1" s="36"/>
    <row r="882" ht="15.75" customHeight="1" s="36"/>
    <row r="883" ht="15.75" customHeight="1" s="36"/>
    <row r="884" ht="15.75" customHeight="1" s="36"/>
    <row r="885" ht="15.75" customHeight="1" s="36"/>
    <row r="886" ht="15.75" customHeight="1" s="36"/>
    <row r="887" ht="15.75" customHeight="1" s="36"/>
    <row r="888" ht="15.75" customHeight="1" s="36"/>
    <row r="889" ht="15.75" customHeight="1" s="36"/>
    <row r="890" ht="15.75" customHeight="1" s="36"/>
    <row r="891" ht="15.75" customHeight="1" s="36"/>
    <row r="892" ht="15.75" customHeight="1" s="36"/>
    <row r="893" ht="15.75" customHeight="1" s="36"/>
    <row r="894" ht="15.75" customHeight="1" s="36"/>
    <row r="895" ht="15.75" customHeight="1" s="36"/>
    <row r="896" ht="15.75" customHeight="1" s="36"/>
    <row r="897" ht="15.75" customHeight="1" s="36"/>
    <row r="898" ht="15.75" customHeight="1" s="36"/>
    <row r="899" ht="15.75" customHeight="1" s="36"/>
    <row r="900" ht="15.75" customHeight="1" s="36"/>
    <row r="901" ht="15.75" customHeight="1" s="36"/>
    <row r="902" ht="15.75" customHeight="1" s="36"/>
    <row r="903" ht="15.75" customHeight="1" s="36"/>
    <row r="904" ht="15.75" customHeight="1" s="36"/>
    <row r="905" ht="15.75" customHeight="1" s="36"/>
    <row r="906" ht="15.75" customHeight="1" s="36"/>
    <row r="907" ht="15.75" customHeight="1" s="36"/>
    <row r="908" ht="15.75" customHeight="1" s="36"/>
    <row r="909" ht="15.75" customHeight="1" s="36"/>
    <row r="910" ht="15.75" customHeight="1" s="36"/>
    <row r="911" ht="15.75" customHeight="1" s="36"/>
    <row r="912" ht="15.75" customHeight="1" s="36"/>
    <row r="913" ht="15.75" customHeight="1" s="36"/>
    <row r="914" ht="15.75" customHeight="1" s="36"/>
    <row r="915" ht="15.75" customHeight="1" s="36"/>
    <row r="916" ht="15.75" customHeight="1" s="36"/>
    <row r="917" ht="15.75" customHeight="1" s="36"/>
    <row r="918" ht="15.75" customHeight="1" s="36"/>
    <row r="919" ht="15.75" customHeight="1" s="36"/>
    <row r="920" ht="15.75" customHeight="1" s="36"/>
    <row r="921" ht="15.75" customHeight="1" s="36"/>
    <row r="922" ht="15.75" customHeight="1" s="36"/>
    <row r="923" ht="15.75" customHeight="1" s="36"/>
    <row r="924" ht="15.75" customHeight="1" s="36"/>
    <row r="925" ht="15.75" customHeight="1" s="36"/>
    <row r="926" ht="15.75" customHeight="1" s="36"/>
    <row r="927" ht="15.75" customHeight="1" s="36"/>
    <row r="928" ht="15.75" customHeight="1" s="36"/>
    <row r="929" ht="15.75" customHeight="1" s="36"/>
    <row r="930" ht="15.75" customHeight="1" s="36"/>
    <row r="931" ht="15.75" customHeight="1" s="36"/>
    <row r="932" ht="15.75" customHeight="1" s="36"/>
    <row r="933" ht="15.75" customHeight="1" s="36"/>
    <row r="934" ht="15.75" customHeight="1" s="36"/>
    <row r="935" ht="15.75" customHeight="1" s="36"/>
    <row r="936" ht="15.75" customHeight="1" s="36"/>
    <row r="937" ht="15.75" customHeight="1" s="36"/>
    <row r="938" ht="15.75" customHeight="1" s="36"/>
    <row r="939" ht="15.75" customHeight="1" s="36"/>
    <row r="940" ht="15.75" customHeight="1" s="36"/>
    <row r="941" ht="15.75" customHeight="1" s="36"/>
    <row r="942" ht="15.75" customHeight="1" s="36"/>
    <row r="943" ht="15.75" customHeight="1" s="36"/>
    <row r="944" ht="15.75" customHeight="1" s="36"/>
    <row r="945" ht="15.75" customHeight="1" s="36"/>
    <row r="946" ht="15.75" customHeight="1" s="36"/>
    <row r="947" ht="15.75" customHeight="1" s="36"/>
    <row r="948" ht="15.75" customHeight="1" s="36"/>
    <row r="949" ht="15.75" customHeight="1" s="36"/>
    <row r="950" ht="15.75" customHeight="1" s="36"/>
    <row r="951" ht="15.75" customHeight="1" s="36"/>
    <row r="952" ht="15.75" customHeight="1" s="36"/>
    <row r="953" ht="15.75" customHeight="1" s="36"/>
    <row r="954" ht="15.75" customHeight="1" s="36"/>
    <row r="955" ht="15.75" customHeight="1" s="36"/>
    <row r="956" ht="15.75" customHeight="1" s="36"/>
    <row r="957" ht="15.75" customHeight="1" s="36"/>
    <row r="958" ht="15.75" customHeight="1" s="36"/>
    <row r="959" ht="15.75" customHeight="1" s="36"/>
    <row r="960" ht="15.75" customHeight="1" s="36"/>
    <row r="961" ht="15.75" customHeight="1" s="36"/>
    <row r="962" ht="15.75" customHeight="1" s="36"/>
    <row r="963" ht="15.75" customHeight="1" s="36"/>
    <row r="964" ht="15.75" customHeight="1" s="36"/>
    <row r="965" ht="15.75" customHeight="1" s="36"/>
    <row r="966" ht="15.75" customHeight="1" s="36"/>
    <row r="967" ht="15.75" customHeight="1" s="36"/>
    <row r="968" ht="15.75" customHeight="1" s="36"/>
    <row r="969" ht="15.75" customHeight="1" s="36"/>
    <row r="970" ht="15.75" customHeight="1" s="36"/>
    <row r="971" ht="15.75" customHeight="1" s="36"/>
    <row r="972" ht="15.75" customHeight="1" s="36"/>
    <row r="973" ht="15.75" customHeight="1" s="36"/>
    <row r="974" ht="15.75" customHeight="1" s="36"/>
    <row r="975" ht="15.75" customHeight="1" s="36"/>
    <row r="976" ht="15.75" customHeight="1" s="36"/>
    <row r="977" ht="15.75" customHeight="1" s="36"/>
    <row r="978" ht="15.75" customHeight="1" s="36"/>
    <row r="979" ht="15.75" customHeight="1" s="36"/>
    <row r="980" ht="15.75" customHeight="1" s="36"/>
    <row r="981" ht="15.75" customHeight="1" s="36"/>
    <row r="982" ht="15.75" customHeight="1" s="36"/>
    <row r="983" ht="15.75" customHeight="1" s="36"/>
    <row r="984" ht="15.75" customHeight="1" s="36"/>
    <row r="985" ht="15.75" customHeight="1" s="36"/>
    <row r="986" ht="15.75" customHeight="1" s="36"/>
    <row r="987" ht="15.75" customHeight="1" s="36"/>
    <row r="988" ht="15.75" customHeight="1" s="36"/>
    <row r="989" ht="15.75" customHeight="1" s="36"/>
    <row r="990" ht="15.75" customHeight="1" s="36"/>
    <row r="991" ht="15.75" customHeight="1" s="36"/>
    <row r="992" ht="15.75" customHeight="1" s="36"/>
    <row r="993" ht="15.75" customHeight="1" s="36"/>
    <row r="994" ht="15.75" customHeight="1" s="36"/>
    <row r="995" ht="15.75" customHeight="1" s="36"/>
    <row r="996" ht="15.75" customHeight="1" s="36"/>
    <row r="997" ht="15.75" customHeight="1" s="36"/>
    <row r="998" ht="15.75" customHeight="1" s="36"/>
    <row r="999" ht="15.75" customHeight="1" s="36"/>
    <row r="1000" ht="15.75" customHeight="1" s="36"/>
  </sheetData>
  <mergeCells count="4">
    <mergeCell ref="A31:G31"/>
    <mergeCell ref="A1:J1"/>
    <mergeCell ref="A14:G14"/>
    <mergeCell ref="A2:J2"/>
  </mergeCells>
  <pageMargins left="0.7" right="0.7" top="0.75" bottom="0.75" header="0" footer="0"/>
  <pageSetup orientation="landscape"/>
</worksheet>
</file>

<file path=xl/worksheets/sheet2.xml><?xml version="1.0" encoding="utf-8"?>
<worksheet xmlns="http://schemas.openxmlformats.org/spreadsheetml/2006/main">
  <sheetPr>
    <outlinePr summaryBelow="1" summaryRight="1"/>
    <pageSetUpPr/>
  </sheetPr>
  <dimension ref="A1:L244"/>
  <sheetViews>
    <sheetView workbookViewId="0">
      <pane ySplit="4" topLeftCell="A5" activePane="bottomLeft" state="frozen"/>
      <selection pane="bottomLeft" activeCell="B6" sqref="B6"/>
    </sheetView>
  </sheetViews>
  <sheetFormatPr baseColWidth="8" defaultColWidth="12.63" defaultRowHeight="15" customHeight="1"/>
  <cols>
    <col width="11" customWidth="1" style="36" min="1" max="1"/>
    <col width="32" customWidth="1" style="36" min="2" max="2"/>
    <col width="57" customWidth="1" style="36" min="3" max="3"/>
    <col width="68" customWidth="1" style="36" min="4" max="4"/>
    <col width="22" customWidth="1" style="36" min="5" max="5"/>
    <col width="15" customWidth="1" style="36" min="6" max="6"/>
    <col width="17" customWidth="1" style="36" min="7" max="7"/>
    <col width="15" customWidth="1" style="36" min="8" max="8"/>
    <col width="17" customWidth="1" style="36" min="9" max="9"/>
    <col width="16" customWidth="1" style="36" min="10" max="10"/>
    <col width="31" customWidth="1" style="36" min="11" max="11"/>
    <col width="60" customWidth="1" style="36" min="12" max="26"/>
  </cols>
  <sheetData>
    <row r="1" ht="45" customHeight="1" s="36">
      <c r="A1" s="1" t="inlineStr">
        <is>
          <t>QUANTEDGE 1.0 — MAIN TASK REGISTER</t>
        </is>
      </c>
    </row>
    <row r="2" ht="28.5" customHeight="1" s="36">
      <c r="A2" s="5" t="inlineStr">
        <is>
          <t>Each subtask has its own row in column D; main-task fields are grouped. Update status in the first row of each group.</t>
        </is>
      </c>
    </row>
    <row r="4" ht="39.75" customHeight="1" s="36">
      <c r="A4" s="15" t="inlineStr">
        <is>
          <t>Task ID</t>
        </is>
      </c>
      <c r="B4" s="15" t="inlineStr">
        <is>
          <t>Main Task</t>
        </is>
      </c>
      <c r="C4" s="15" t="inlineStr">
        <is>
          <t>What must come out of it</t>
        </is>
      </c>
      <c r="D4" s="15" t="inlineStr">
        <is>
          <t>Subtasks</t>
        </is>
      </c>
      <c r="E4" s="15" t="inlineStr">
        <is>
          <t>Assigned Owner</t>
        </is>
      </c>
      <c r="F4" s="15" t="inlineStr">
        <is>
          <t>Priority</t>
        </is>
      </c>
      <c r="G4" s="15" t="inlineStr">
        <is>
          <t>Status</t>
        </is>
      </c>
      <c r="H4" s="15" t="inlineStr">
        <is>
          <t>Progress</t>
        </is>
      </c>
      <c r="I4" s="15" t="inlineStr">
        <is>
          <t>Target Week</t>
        </is>
      </c>
      <c r="J4" s="15" t="inlineStr">
        <is>
          <t>Due Date</t>
        </is>
      </c>
      <c r="K4" s="15" t="inlineStr">
        <is>
          <t>Notes / Links</t>
        </is>
      </c>
      <c r="L4" s="15" t="inlineStr">
        <is>
          <t>Definition of Done</t>
        </is>
      </c>
    </row>
    <row r="5" ht="34.5" customHeight="1" s="36">
      <c r="A5" s="17" t="inlineStr">
        <is>
          <t>T1</t>
        </is>
      </c>
      <c r="B5" s="18" t="inlineStr">
        <is>
          <t>Project setup and shared decisions</t>
        </is>
      </c>
      <c r="C5" s="18" t="inlineStr">
        <is>
          <t>Repo structure, environment, agreed function inputs and outputs, a decisions document (date range, risk-free rate, benchmark, universe).</t>
        </is>
      </c>
      <c r="D5" s="19" t="inlineStr">
        <is>
          <t>01  Create shared GitHub repository and directory structure</t>
        </is>
      </c>
      <c r="E5" s="18" t="inlineStr">
        <is>
          <t>Malindu</t>
        </is>
      </c>
      <c r="F5" s="18" t="inlineStr">
        <is>
          <t>Supporting</t>
        </is>
      </c>
      <c r="G5" s="18" t="inlineStr">
        <is>
          <t>In Progress</t>
        </is>
      </c>
      <c r="H5" s="20">
        <f>IFERROR(COUNTIFS(Subtasks!$B$5:$B$400,A5,Subtasks!$F$5:$F$400,"Done")/COUNTIF(Subtasks!$B$5:$B$400,A5),0)</f>
        <v/>
      </c>
      <c r="I5" s="18" t="inlineStr">
        <is>
          <t>Week 1</t>
        </is>
      </c>
      <c r="J5" s="21" t="n"/>
      <c r="K5" s="18" t="n"/>
      <c r="L5" s="18" t="inlineStr">
        <is>
          <t>All decisions APPROVED in DECISIONS.md; conventions tested; repo builds from README</t>
        </is>
      </c>
    </row>
    <row r="6" ht="34.5" customHeight="1" s="36">
      <c r="D6" s="19" t="inlineStr">
        <is>
          <t>02  Define environment, dependencies and setup commands</t>
        </is>
      </c>
    </row>
    <row r="7" ht="34.5" customHeight="1" s="36">
      <c r="D7" s="19" t="inlineStr">
        <is>
          <t>03  Agree on common model input/output conventions</t>
        </is>
      </c>
    </row>
    <row r="8" ht="34.5" customHeight="1" s="36">
      <c r="D8" s="19" t="inlineStr">
        <is>
          <t>04  Agree date range, risk-free rate, benchmark and ETF universe</t>
        </is>
      </c>
    </row>
    <row r="9" ht="34.5" customHeight="1" s="36">
      <c r="D9" s="19" t="inlineStr">
        <is>
          <t>05  Record decisions, responsibility owners and review process</t>
        </is>
      </c>
    </row>
    <row r="10" ht="34.5" customHeight="1" s="36">
      <c r="D10" s="19" t="inlineStr">
        <is>
          <t>06  Map brief Layers 1–5 to code stages; keep the vocabularies separate</t>
        </is>
      </c>
    </row>
    <row r="11" ht="34.5" customHeight="1" s="36">
      <c r="D11" s="19" t="inlineStr">
        <is>
          <t>07  Settle blocking decisions D3, D5, D6, D7, D12 before portfolio stage</t>
        </is>
      </c>
    </row>
    <row r="12" ht="34.5" customHeight="1" s="36">
      <c r="D12" s="19" t="inlineStr">
        <is>
          <t>08  Settle remaining decisions D1, D4, D8, D9, D11, D13, D16</t>
        </is>
      </c>
    </row>
    <row r="13" ht="34.5" customHeight="1" s="36">
      <c r="D13" s="19" t="inlineStr">
        <is>
          <t>09  Upload missing Batch04 explainer (slides 61–80); remove duplicate Batch02</t>
        </is>
      </c>
    </row>
    <row r="14" ht="34.5" customHeight="1" s="36">
      <c r="D14" s="19" t="inlineStr">
        <is>
          <t>10  Approve decisions already implied by approved work: D4 5-year horizon (D7 uses it), D11 quarterly (D3 uses it), D13 1,000-day window, D1 full sample, D2 DTB3, D8 EVT method</t>
        </is>
      </c>
    </row>
    <row r="15" ht="34.5" customHeight="1" s="36">
      <c r="D15" s="19" t="inlineStr">
        <is>
          <t>11  Approve optimiser design for drawdown limit (CVaR constraint + CDaR or post-check)</t>
        </is>
      </c>
    </row>
    <row r="16" ht="34.5" customHeight="1" s="36">
      <c r="A16" s="17" t="inlineStr">
        <is>
          <t>T2</t>
        </is>
      </c>
      <c r="B16" s="18" t="inlineStr">
        <is>
          <t>Data pipeline and cleaning</t>
        </is>
      </c>
      <c r="C16" s="18" t="inlineStr">
        <is>
          <t>Adjusted prices, aligned calendars, log returns, flagged (not deleted) outliers, ADF stationarity test, fully reproducible from code.</t>
        </is>
      </c>
      <c r="D16" s="19" t="inlineStr">
        <is>
          <t>01  Download adjusted prices for all seven allowed ETFs</t>
        </is>
      </c>
      <c r="E16" s="18" t="inlineStr">
        <is>
          <t>Raveena</t>
        </is>
      </c>
      <c r="F16" s="18" t="inlineStr">
        <is>
          <t>Core ★</t>
        </is>
      </c>
      <c r="G16" s="18" t="inlineStr">
        <is>
          <t>In Progress</t>
        </is>
      </c>
      <c r="H16" s="20">
        <f>IFERROR(COUNTIFS(Subtasks!$B$5:$B$400,A16,Subtasks!$F$5:$F$400,"Done")/COUNTIF(Subtasks!$B$5:$B$400,A16),0)</f>
        <v/>
      </c>
      <c r="I16" s="18" t="inlineStr">
        <is>
          <t>Week 1</t>
        </is>
      </c>
      <c r="J16" s="21" t="n"/>
      <c r="K16" s="18" t="n"/>
      <c r="L16" s="18" t="inlineStr">
        <is>
          <t>`run_all.py --only data` rebuilds every processed file from snapshots; regression + unit tests pass; split labels with leakage test</t>
        </is>
      </c>
    </row>
    <row r="17" ht="34.5" customHeight="1" s="36">
      <c r="D17" s="19" t="inlineStr">
        <is>
          <t>02  Document data source, download date and adjustment choices</t>
        </is>
      </c>
    </row>
    <row r="18" ht="34.5" customHeight="1" s="36">
      <c r="D18" s="19" t="inlineStr">
        <is>
          <t>03  Align calendars, missing observations and common sample</t>
        </is>
      </c>
    </row>
    <row r="19" ht="34.5" customHeight="1" s="36">
      <c r="D19" s="19" t="inlineStr">
        <is>
          <t>04  Calculate daily log returns and verify computations</t>
        </is>
      </c>
    </row>
    <row r="20" ht="34.5" customHeight="1" s="36">
      <c r="D20" s="19" t="inlineStr">
        <is>
          <t>05  Flag potential outliers without automatically deleting them</t>
        </is>
      </c>
    </row>
    <row r="21" ht="34.5" customHeight="1" s="36">
      <c r="D21" s="19" t="inlineStr">
        <is>
          <t>06  Run ADF tests and export reproducible clean datasets</t>
        </is>
      </c>
    </row>
    <row r="22" ht="34.5" customHeight="1" s="36">
      <c r="D22" s="19" t="inlineStr">
        <is>
          <t>07  Move notebook logic into tested data-stage code; prove it reproduces the original files</t>
        </is>
      </c>
    </row>
    <row r="23" ht="34.5" customHeight="1" s="36">
      <c r="D23" s="19" t="inlineStr">
        <is>
          <t>08  Calculate simple returns and state where simple vs log are used</t>
        </is>
      </c>
    </row>
    <row r="24" ht="34.5" customHeight="1" s="36">
      <c r="D24" s="19" t="inlineStr">
        <is>
          <t>09  Download FRED DTB3, DGS10, CPI; align to trading days without look-ahead</t>
        </is>
      </c>
    </row>
    <row r="25" ht="34.5" customHeight="1" s="36">
      <c r="D25" s="19" t="inlineStr">
        <is>
          <t>10  Extra quality checks: stale prices, jumps, reversals, large negatives, variance breaks</t>
        </is>
      </c>
    </row>
    <row r="26" ht="34.5" customHeight="1" s="36">
      <c r="D26" s="19" t="inlineStr">
        <is>
          <t>11  Review every flag against market events; document decisions</t>
        </is>
      </c>
    </row>
    <row r="27" ht="34.5" customHeight="1" s="36">
      <c r="D27" s="19" t="inlineStr">
        <is>
          <t>12  Confirm GLD −10.8% on 2026-01-30 against market news</t>
        </is>
      </c>
    </row>
    <row r="28" ht="34.5" customHeight="1" s="36">
      <c r="D28" s="19" t="inlineStr">
        <is>
          <t>13  Implement chronological train / validation / test split in code</t>
        </is>
      </c>
    </row>
    <row r="29" ht="34.5" customHeight="1" s="36">
      <c r="D29" s="19" t="inlineStr">
        <is>
          <t>14  Download ETF distributions (dividends) for the income objective</t>
        </is>
      </c>
    </row>
    <row r="30" ht="34.5" customHeight="1" s="36">
      <c r="D30" s="19" t="inlineStr">
        <is>
          <t>15  ETF instrument register: asset class, role, inception, distribution policy (no extra data sources)</t>
        </is>
      </c>
    </row>
    <row r="31" ht="34.5" customHeight="1" s="36">
      <c r="D31" s="19" t="inlineStr">
        <is>
          <t>16  Team sign-off of data-stage validation log entries</t>
        </is>
      </c>
    </row>
    <row r="32" ht="34.5" customHeight="1" s="36">
      <c r="D32" s="19" t="inlineStr">
        <is>
          <t>17  Move quarterly-rebalanced NAV/turnover function from research script into common/conventions with tests</t>
        </is>
      </c>
    </row>
    <row r="33" ht="34.5" customHeight="1" s="36">
      <c r="A33" s="17" t="inlineStr">
        <is>
          <t>T3</t>
        </is>
      </c>
      <c r="B33" s="18" t="inlineStr">
        <is>
          <t>Client mandate (investment policy)</t>
        </is>
      </c>
      <c r="C33" s="18" t="inlineStr">
        <is>
          <t>Investment horizon, return objective, risk constraints (VaR/ES/drawdown limits), why it suits a conservative client.</t>
        </is>
      </c>
      <c r="D33" s="19" t="inlineStr">
        <is>
          <t>01  Define endowment horizon, investment purpose and liquidity needs</t>
        </is>
      </c>
      <c r="E33" s="18" t="inlineStr">
        <is>
          <t>Sujan</t>
        </is>
      </c>
      <c r="F33" s="18" t="inlineStr">
        <is>
          <t>Core ★</t>
        </is>
      </c>
      <c r="G33" s="18" t="inlineStr">
        <is>
          <t>In Progress</t>
        </is>
      </c>
      <c r="H33" s="20">
        <f>IFERROR(COUNTIFS(Subtasks!$B$5:$B$400,A33,Subtasks!$F$5:$F$400,"Done")/COUNTIF(Subtasks!$B$5:$B$400,A33),0)</f>
        <v/>
      </c>
      <c r="I33" s="18" t="inlineStr">
        <is>
          <t>Week 1</t>
        </is>
      </c>
      <c r="J33" s="21" t="n"/>
      <c r="K33" s="18" t="n"/>
      <c r="L33" s="18" t="inlineStr">
        <is>
          <t>docs/IPS.md states horizon, return objective, constraints, limits and suitability criteria, consistent with config</t>
        </is>
      </c>
    </row>
    <row r="34" ht="34.5" customHeight="1" s="36">
      <c r="D34" s="19" t="inlineStr">
        <is>
          <t>02  Propose justified return and inflation-protection objectives</t>
        </is>
      </c>
    </row>
    <row r="35" ht="34.5" customHeight="1" s="36">
      <c r="D35" s="19" t="inlineStr">
        <is>
          <t>03  Set no-short-selling, allocation caps and risk-budget rules</t>
        </is>
      </c>
    </row>
    <row r="36" ht="34.5" customHeight="1" s="36">
      <c r="D36" s="19" t="inlineStr">
        <is>
          <t>04  Propose VaR, ES and drawdown tolerances</t>
        </is>
      </c>
    </row>
    <row r="37" ht="34.5" customHeight="1" s="36">
      <c r="D37" s="19" t="inlineStr">
        <is>
          <t>05  Document assumptions and secure team agreement</t>
        </is>
      </c>
    </row>
    <row r="38" ht="34.5" customHeight="1" s="36">
      <c r="D38" s="19" t="inlineStr">
        <is>
          <t>06  Spending rule and cost assumptions (spending rate, turnover cost; ETF fees already in prices)</t>
        </is>
      </c>
    </row>
    <row r="39" ht="34.5" customHeight="1" s="36">
      <c r="D39" s="19" t="inlineStr">
        <is>
          <t>07  Rebalancing policy (frequency, drift band)</t>
        </is>
      </c>
    </row>
    <row r="40" ht="34.5" customHeight="1" s="36">
      <c r="D40" s="19" t="inlineStr">
        <is>
          <t>08  Choose benchmarks: CAPM market proxy and policy benchmark</t>
        </is>
      </c>
    </row>
    <row r="41" ht="34.5" customHeight="1" s="36">
      <c r="D41" s="19" t="inlineStr">
        <is>
          <t>09  Define suitability criteria used by the decision gate</t>
        </is>
      </c>
    </row>
    <row r="42" ht="34.5" customHeight="1" s="36">
      <c r="D42" s="19" t="inlineStr">
        <is>
          <t>10  Confirm no cash sleeve / derivatives; spending liquidity from AGG</t>
        </is>
      </c>
    </row>
    <row r="43" ht="34.5" customHeight="1" s="36">
      <c r="D43" s="19" t="inlineStr">
        <is>
          <t>11  Required-vs-expected return table (breakeven inflation, CAPM, income yield, history; ERP and withholding sensitivity)</t>
        </is>
      </c>
    </row>
    <row r="44" ht="34.5" customHeight="1" s="36">
      <c r="D44" s="19" t="inlineStr">
        <is>
          <t>12  Choose base ERP and risk-free assumption for expected returns (own-data ERP 9.7%, CI 3.5–15.8%, too wide to use alone)</t>
        </is>
      </c>
    </row>
    <row r="45" ht="34.5" customHeight="1" s="36">
      <c r="D45" s="19" t="inlineStr">
        <is>
          <t>13  Confirm base spending rate, real growth and extra costs (S, G, C); cite the spending benchmark source</t>
        </is>
      </c>
    </row>
    <row r="46" ht="34.5" customHeight="1" s="36">
      <c r="D46" s="19" t="inlineStr">
        <is>
          <t>15  Highest sustainable spending per portfolio + auto-generated one-page summary</t>
        </is>
      </c>
    </row>
    <row r="47" ht="34.5" customHeight="1" s="36">
      <c r="D47" s="19" t="inlineStr">
        <is>
          <t>16  Revisit S, G, C and ERP after further team research; rerun and compare</t>
        </is>
      </c>
    </row>
    <row r="48" ht="34.5" customHeight="1" s="36">
      <c r="D48" s="19" t="inlineStr">
        <is>
          <t>17  Research and approve D3 benchmark structure</t>
        </is>
      </c>
    </row>
    <row r="49" ht="34.5" customHeight="1" s="36">
      <c r="D49" s="19" t="inlineStr">
        <is>
          <t>18  Research and approve D7 provisional risk limits</t>
        </is>
      </c>
    </row>
    <row r="50" ht="34.5" customHeight="1" s="36">
      <c r="D50" s="19" t="inlineStr">
        <is>
          <t>19  Committee choice on the drawdown ↔ spending trade-off (20% → 2.1%, 25% → 2.8%)</t>
        </is>
      </c>
    </row>
    <row r="51" ht="34.5" customHeight="1" s="36">
      <c r="D51" s="19" t="inlineStr">
        <is>
          <t>20  Fix model warnings: daily covariance, per-ETF withholding, risk-free scenarios, separate gold assessment</t>
        </is>
      </c>
    </row>
    <row r="52" ht="34.5" customHeight="1" s="36">
      <c r="D52" s="19" t="inlineStr">
        <is>
          <t>21  Risk tolerance approximation: willingness (mandate wording, peer losses) vs ability (capacity); tolerance = lower of the two</t>
        </is>
      </c>
    </row>
    <row r="53" ht="34.5" customHeight="1" s="36">
      <c r="D53" s="19" t="inlineStr">
        <is>
          <t>22  Risk capacity: largest loss the fund can take while keeping spending and real value within floors (analytic + bootstrap with spending)</t>
        </is>
      </c>
    </row>
    <row r="54" ht="34.5" customHeight="1" s="36">
      <c r="D54" s="19" t="inlineStr">
        <is>
          <t>23  Spending continuity after losses: fixed-real-dollar vs %-of-NAV vs smoothing rule over 5-year paths</t>
        </is>
      </c>
    </row>
    <row r="55" ht="34.5" customHeight="1" s="36">
      <c r="D55" s="19" t="inlineStr">
        <is>
          <t>24  Recovery time after 10/15/20/25% losses: historical and forward (bootstrap)</t>
        </is>
      </c>
    </row>
    <row r="56" ht="34.5" customHeight="1" s="36">
      <c r="D56" s="19" t="inlineStr">
        <is>
          <t>25  Liquidity under stress: funding spending and rebalancing from AGG in a crisis (incl. 2008-10-10 discount)</t>
        </is>
      </c>
    </row>
    <row r="57" ht="34.5" customHeight="1" s="36">
      <c r="D57" s="19" t="inlineStr">
        <is>
          <t>26  Losses beyond history: severity-scaled crisis replays (GFC ×1.25, ×1.5)</t>
        </is>
      </c>
    </row>
    <row r="58" ht="34.5" customHeight="1" s="36">
      <c r="D58" s="19" t="inlineStr">
        <is>
          <t>27  Drawdown monitoring and action ladder (amber / red / limit) for memo and app</t>
        </is>
      </c>
    </row>
    <row r="59" ht="34.5" customHeight="1" s="36">
      <c r="D59" s="19" t="inlineStr">
        <is>
          <t>28  Re-confirm D7 (drawdown, VaR, ES limits) against tolerance and capacity results</t>
        </is>
      </c>
    </row>
    <row r="60" ht="34.5" customHeight="1" s="36">
      <c r="D60" s="19" t="inlineStr">
        <is>
          <t>29  Open question for committee: is 4% spending compulsory (fixed) or flexible? Memo shows both: fixed → disclosed real erosion ~0.6–1.2%/yr and capacity ~20%; flexible → move toward ~2.9% via D24</t>
        </is>
      </c>
    </row>
    <row r="61" ht="34.5" customHeight="1" s="36">
      <c r="D61" s="19" t="inlineStr">
        <is>
          <t>14  Tax assumption: tax-exempt base case, dividend withholding as sensitivity (check interest-related dividend exemption for AGG)</t>
        </is>
      </c>
    </row>
    <row r="62" ht="34.5" customHeight="1" s="36">
      <c r="A62" s="17" t="inlineStr">
        <is>
          <t>T4</t>
        </is>
      </c>
      <c r="B62" s="18" t="inlineStr">
        <is>
          <t>Portfolio construction and selection</t>
        </is>
      </c>
      <c r="C62" s="18" t="inlineStr">
        <is>
          <t>Markowitz and CAPM, three candidate portfolios, constraints, comparison, final weights with justification.</t>
        </is>
      </c>
      <c r="D62" s="19" t="inlineStr">
        <is>
          <t>01  Estimate training returns, covariance matrix and correlations</t>
        </is>
      </c>
      <c r="E62" s="18" t="inlineStr">
        <is>
          <t>Dewmini</t>
        </is>
      </c>
      <c r="F62" s="18" t="inlineStr">
        <is>
          <t>Core ★</t>
        </is>
      </c>
      <c r="G62" s="18" t="inlineStr">
        <is>
          <t>In Progress</t>
        </is>
      </c>
      <c r="H62" s="20">
        <f>IFERROR(COUNTIFS(Subtasks!$B$5:$B$400,A62,Subtasks!$F$5:$F$400,"Done")/COUNTIF(Subtasks!$B$5:$B$400,A62),0)</f>
        <v/>
      </c>
      <c r="I62" s="18" t="inlineStr">
        <is>
          <t>Weeks 1–2</t>
        </is>
      </c>
      <c r="J62" s="21" t="n"/>
      <c r="K62" s="18" t="n"/>
      <c r="L62" s="18" t="inlineStr">
        <is>
          <t>Each candidate meets D6 v2 + D7 (tests); P1-train and P1-final saved; frontier and trade-off table produced</t>
        </is>
      </c>
    </row>
    <row r="63" ht="34.5" customHeight="1" s="36">
      <c r="D63" s="19" t="inlineStr">
        <is>
          <t>02  Implement constrained minimum-variance allocation</t>
        </is>
      </c>
    </row>
    <row r="64" ht="34.5" customHeight="1" s="36">
      <c r="D64" s="19" t="inlineStr">
        <is>
          <t>03  Implement risk-parity allocation</t>
        </is>
      </c>
    </row>
    <row r="65" ht="34.5" customHeight="1" s="36">
      <c r="D65" s="19" t="inlineStr">
        <is>
          <t>04  Implement capped maximum-Sharpe allocation</t>
        </is>
      </c>
    </row>
    <row r="66" ht="34.5" customHeight="1" s="36">
      <c r="D66" s="19" t="inlineStr">
        <is>
          <t>05  Document Markowitz/CAPM concepts and benchmark assumptions</t>
        </is>
      </c>
    </row>
    <row r="67" ht="34.5" customHeight="1" s="36">
      <c r="D67" s="19" t="inlineStr">
        <is>
          <t>06  Compare diversification, concentration and feasible weights</t>
        </is>
      </c>
    </row>
    <row r="68" ht="34.5" customHeight="1" s="36">
      <c r="D68" s="19" t="inlineStr">
        <is>
          <t>07  Provide candidate and proposed final weights with justification</t>
        </is>
      </c>
    </row>
    <row r="69" ht="34.5" customHeight="1" s="36">
      <c r="D69" s="19" t="inlineStr">
        <is>
          <t>08  Robust inputs: shrinkage covariance (Ledoit–Wolf), cautious expected returns</t>
        </is>
      </c>
    </row>
    <row r="70" ht="34.5" customHeight="1" s="36">
      <c r="D70" s="19" t="inlineStr">
        <is>
          <t>09  Implement minimum-CVaR allocation (Rockafellar–Uryasev)</t>
        </is>
      </c>
    </row>
    <row r="71" ht="34.5" customHeight="1" s="36">
      <c r="D71" s="19" t="inlineStr">
        <is>
          <t>10  Implement target-return Markowitz at the D12 hurdle (minimum 6.66% / target 7.19%) with fallback to lowest-risk feasible portfolio</t>
        </is>
      </c>
    </row>
    <row r="72" ht="34.5" customHeight="1" s="36">
      <c r="D72" s="19" t="inlineStr">
        <is>
          <t>11  Efficient frontier with candidates and benchmarks plotted; trade-off table</t>
        </is>
      </c>
    </row>
    <row r="73" ht="34.5" customHeight="1" s="36">
      <c r="D73" s="19" t="inlineStr">
        <is>
          <t>12  Feasibility filters: D6 v2 layers (equity 20–45%, GLD ≤ 20%, ≤ 2× benchmark, sector tilts) + D7 limits</t>
        </is>
      </c>
    </row>
    <row r="74" ht="34.5" customHeight="1" s="36">
      <c r="D74" s="19" t="inlineStr">
        <is>
          <t>13  Net-of-cost and turnover test under chosen rebalancing</t>
        </is>
      </c>
    </row>
    <row r="75" ht="34.5" customHeight="1" s="36">
      <c r="D75" s="19" t="inlineStr">
        <is>
          <t>14  Diversification metrics: diversification ratio, risk contribution vs weight</t>
        </is>
      </c>
    </row>
    <row r="76" ht="34.5" customHeight="1" s="36">
      <c r="D76" s="19" t="inlineStr">
        <is>
          <t>15  Weight sensitivity to input changes (sub-period / bootstrap re-estimation)</t>
        </is>
      </c>
    </row>
    <row r="77" ht="34.5" customHeight="1" s="36">
      <c r="D77" s="19" t="inlineStr">
        <is>
          <t>16  Freeze P1 handoff: candidate weights + metadata file</t>
        </is>
      </c>
    </row>
    <row r="78" ht="34.5" customHeight="1" s="36">
      <c r="D78" s="19" t="inlineStr">
        <is>
          <t>17  Unit tests for all optimisers (constraints respected, known solutions)</t>
        </is>
      </c>
    </row>
    <row r="79" ht="34.5" customHeight="1" s="36">
      <c r="D79" s="19" t="inlineStr">
        <is>
          <t>18  Capital market assumptions estimated on the training window only, for out-of-sample candidates</t>
        </is>
      </c>
    </row>
    <row r="80" ht="34.5" customHeight="1" s="36">
      <c r="D80" s="19" t="inlineStr">
        <is>
          <t>19  Produce two P1 sets: P1-train (frozen, for OOS backtests) and P1-final (full-sample re-fit, same frozen method)</t>
        </is>
      </c>
    </row>
    <row r="81" ht="34.5" customHeight="1" s="36">
      <c r="D81" s="19" t="inlineStr">
        <is>
          <t>20  Optimiser design meeting D6 v2 + D7 (ES as CVaR constraint; drawdown via CDaR or post-check)</t>
        </is>
      </c>
    </row>
    <row r="82" ht="34.5" customHeight="1" s="36">
      <c r="D82" s="19" t="inlineStr">
        <is>
          <t>21  Add every candidate to the required-vs-expected table with sustainable spending</t>
        </is>
      </c>
    </row>
    <row r="83" ht="34.5" customHeight="1" s="36">
      <c r="D83" s="19" t="inlineStr">
        <is>
          <t>22  Decide bond expected-return method for near-zero rates (D25) and apply to both CMA sets</t>
        </is>
      </c>
    </row>
    <row r="84" ht="34.5" customHeight="1" s="36">
      <c r="D84" s="19" t="inlineStr">
        <is>
          <t>23  Required return in training-period terms (2014 breakeven, same S/G/C) for P1-train return targets</t>
        </is>
      </c>
    </row>
    <row r="85" ht="34.5" customHeight="1" s="36">
      <c r="D85" s="19" t="inlineStr">
        <is>
          <t>24  Decide portfolio choice rule when the hurdle is infeasible (D26)</t>
        </is>
      </c>
    </row>
    <row r="86" ht="34.5" customHeight="1" s="36">
      <c r="D86" s="19" t="inlineStr">
        <is>
          <t>25  Final-selection robustness: D26 with a 5-year-test margin, component-ES cap, or blend with Risk Parity (out-of-sample evidence)</t>
        </is>
      </c>
    </row>
    <row r="87" ht="34.5" customHeight="1" s="36">
      <c r="D87" s="19" t="inlineStr">
        <is>
          <t>26  Speed up portfolio stage (~7 min): cache solves, fewer bisection steps</t>
        </is>
      </c>
    </row>
    <row r="88" ht="34.5" customHeight="1" s="36">
      <c r="A88" s="17" t="inlineStr">
        <is>
          <t>T5</t>
        </is>
      </c>
      <c r="B88" s="18" t="inlineStr">
        <is>
          <t>KPIs and benchmarks</t>
        </is>
      </c>
      <c r="C88" s="18" t="inlineStr">
        <is>
          <t>Sharpe, Sortino, Treynor, Jensen’s alpha, Information Ratio, max drawdown, Calmar, compared with benchmarks.</t>
        </is>
      </c>
      <c r="D88" s="19" t="inlineStr">
        <is>
          <t>01  Implement Sharpe and Sortino metrics consistently</t>
        </is>
      </c>
      <c r="E88" s="18" t="inlineStr">
        <is>
          <t>Raveena</t>
        </is>
      </c>
      <c r="F88" s="18" t="inlineStr">
        <is>
          <t>Supporting</t>
        </is>
      </c>
      <c r="G88" s="18" t="inlineStr">
        <is>
          <t>Done</t>
        </is>
      </c>
      <c r="H88" s="20">
        <f>IFERROR(COUNTIFS(Subtasks!$B$5:$B$400,A88,Subtasks!$F$5:$F$400,"Done")/COUNTIF(Subtasks!$B$5:$B$400,A88),0)</f>
        <v/>
      </c>
      <c r="I88" s="18" t="inlineStr">
        <is>
          <t>Week 2</t>
        </is>
      </c>
      <c r="J88" s="21" t="n"/>
      <c r="K88" s="18" t="n"/>
      <c r="L88" s="18" t="inlineStr">
        <is>
          <t>Every KPI unit-tested on a hand-computed example; same rebalancing for portfolio and benchmarks</t>
        </is>
      </c>
    </row>
    <row r="89" ht="34.5" customHeight="1" s="36">
      <c r="D89" s="19" t="inlineStr">
        <is>
          <t>02  Compute Treynor and Jensen alpha with market benchmark</t>
        </is>
      </c>
    </row>
    <row r="90" ht="34.5" customHeight="1" s="36">
      <c r="D90" s="19" t="inlineStr">
        <is>
          <t>03  Compute Information Ratio against agreed benchmark</t>
        </is>
      </c>
    </row>
    <row r="91" ht="34.5" customHeight="1" s="36">
      <c r="D91" s="19" t="inlineStr">
        <is>
          <t>04  Compute maximum drawdown and Calmar ratio</t>
        </is>
      </c>
    </row>
    <row r="92" ht="34.5" customHeight="1" s="36">
      <c r="D92" s="19" t="inlineStr">
        <is>
          <t>05  Prepare comparative KPI and benchmark results</t>
        </is>
      </c>
    </row>
    <row r="93" ht="34.5" customHeight="1" s="36">
      <c r="D93" s="19" t="inlineStr">
        <is>
          <t>06  CAPM expected return and beta per ETF and candidate</t>
        </is>
      </c>
    </row>
    <row r="94" ht="34.5" customHeight="1" s="36">
      <c r="D94" s="19" t="inlineStr">
        <is>
          <t>07  Report KPIs separately for training and out-of-sample periods</t>
        </is>
      </c>
    </row>
    <row r="95" ht="34.5" customHeight="1" s="36">
      <c r="D95" s="19" t="inlineStr">
        <is>
          <t>08  Verify KPIs against hand-calculated examples</t>
        </is>
      </c>
    </row>
    <row r="96" ht="34.5" customHeight="1" s="36">
      <c r="D96" s="19" t="inlineStr">
        <is>
          <t>09  KPIs for portfolio and all D3 benchmarks with identical (quarterly) rebalancing and total returns</t>
        </is>
      </c>
    </row>
    <row r="97" ht="34.5" customHeight="1" s="36">
      <c r="A97" s="17" t="inlineStr">
        <is>
          <t>T6</t>
        </is>
      </c>
      <c r="B97" s="18" t="inlineStr">
        <is>
          <t>VaR with 3 methods</t>
        </is>
      </c>
      <c r="C97" s="18" t="inlineStr">
        <is>
          <t>Historical, Parametric and Monte Carlo at 95% and 99%, plus a written explanation of where and why they disagree.</t>
        </is>
      </c>
      <c r="D97" s="19" t="inlineStr">
        <is>
          <t>01  Fix portfolio losses convention and risk horizon</t>
        </is>
      </c>
      <c r="E97" s="18" t="inlineStr">
        <is>
          <t>Sujan</t>
        </is>
      </c>
      <c r="F97" s="18" t="inlineStr">
        <is>
          <t>Core ★</t>
        </is>
      </c>
      <c r="G97" s="18" t="inlineStr">
        <is>
          <t>In Progress</t>
        </is>
      </c>
      <c r="H97" s="20">
        <f>IFERROR(COUNTIFS(Subtasks!$B$5:$B$400,A97,Subtasks!$F$5:$F$400,"Done")/COUNTIF(Subtasks!$B$5:$B$400,A97),0)</f>
        <v/>
      </c>
      <c r="I97" s="18" t="inlineStr">
        <is>
          <t>Week 2</t>
        </is>
      </c>
      <c r="J97" s="21" t="n"/>
      <c r="K97" s="18" t="n"/>
      <c r="L97" s="18" t="inlineStr">
        <is>
          <t>Each method tested against a known answer (e.g. normal VaR = μ + zσ); 90/95/99 with uncertainty bands; assumption diagnostics reported</t>
        </is>
      </c>
    </row>
    <row r="98" ht="34.5" customHeight="1" s="36">
      <c r="D98" s="19" t="inlineStr">
        <is>
          <t>02  Implement Historical VaR at 95% and 99%</t>
        </is>
      </c>
    </row>
    <row r="99" ht="34.5" customHeight="1" s="36">
      <c r="D99" s="19" t="inlineStr">
        <is>
          <t>03  Implement Parametric VaR at 95% and 99%</t>
        </is>
      </c>
    </row>
    <row r="100" ht="34.5" customHeight="1" s="36">
      <c r="D100" s="19" t="inlineStr">
        <is>
          <t>04  Implement Monte Carlo VaR at 95% and 99%</t>
        </is>
      </c>
    </row>
    <row r="101" ht="34.5" customHeight="1" s="36">
      <c r="D101" s="19" t="inlineStr">
        <is>
          <t>05  Compare all methods on identical portfolios and windows</t>
        </is>
      </c>
    </row>
    <row r="102" ht="34.5" customHeight="1" s="36">
      <c r="D102" s="19" t="inlineStr">
        <is>
          <t>06  Explain disagreements under calm and stressed conditions</t>
        </is>
      </c>
    </row>
    <row r="103" ht="34.5" customHeight="1" s="36">
      <c r="D103" s="19" t="inlineStr">
        <is>
          <t>07  Add 90% level to every VaR method (app requirement)</t>
        </is>
      </c>
    </row>
    <row r="104" ht="34.5" customHeight="1" s="36">
      <c r="D104" s="19" t="inlineStr">
        <is>
          <t>08  Test model assumptions: Jarque–Bera, Ljung–Box on squared returns, QQ plots</t>
        </is>
      </c>
    </row>
    <row r="105" ht="34.5" customHeight="1" s="36">
      <c r="D105" s="19" t="inlineStr">
        <is>
          <t>09  Uncertainty bands: bootstrap CI (historical), MC standard error</t>
        </is>
      </c>
    </row>
    <row r="106" ht="34.5" customHeight="1" s="36">
      <c r="D106" s="19" t="inlineStr">
        <is>
          <t>10  Multi-day horizon by simulation (no silent √t)</t>
        </is>
      </c>
    </row>
    <row r="107" ht="34.5" customHeight="1" s="36">
      <c r="D107" s="19" t="inlineStr">
        <is>
          <t>11  Express VaR in USD on the $10M NAV</t>
        </is>
      </c>
    </row>
    <row r="108" ht="34.5" customHeight="1" s="36">
      <c r="D108" s="19" t="inlineStr">
        <is>
          <t>12  Forward-looking drawdown probabilities, e.g. P(DD &gt; 25% in 5 years), by block bootstrap</t>
        </is>
      </c>
    </row>
    <row r="109" ht="34.5" customHeight="1" s="36">
      <c r="D109" s="19" t="inlineStr">
        <is>
          <t>13  Speed up risk stage (~7 min; Student-t bootstrap refits)</t>
        </is>
      </c>
    </row>
    <row r="110" ht="34.5" customHeight="1" s="36">
      <c r="A110" s="17" t="inlineStr">
        <is>
          <t>T7</t>
        </is>
      </c>
      <c r="B110" s="18" t="inlineStr">
        <is>
          <t>Expected Shortfall</t>
        </is>
      </c>
      <c r="C110" s="18" t="inlineStr">
        <is>
          <t>ES at the same confidence levels, with the rationale for using it besides VaR.</t>
        </is>
      </c>
      <c r="D110" s="19" t="inlineStr">
        <is>
          <t>01  Compute Historical ES at 95% and 99%</t>
        </is>
      </c>
      <c r="E110" s="18" t="inlineStr">
        <is>
          <t>Sujan</t>
        </is>
      </c>
      <c r="F110" s="18" t="inlineStr">
        <is>
          <t>Core ★</t>
        </is>
      </c>
      <c r="G110" s="18" t="inlineStr">
        <is>
          <t>Done</t>
        </is>
      </c>
      <c r="H110" s="20">
        <f>IFERROR(COUNTIFS(Subtasks!$B$5:$B$400,A110,Subtasks!$F$5:$F$400,"Done")/COUNTIF(Subtasks!$B$5:$B$400,A110),0)</f>
        <v/>
      </c>
      <c r="I110" s="18" t="inlineStr">
        <is>
          <t>Week 2</t>
        </is>
      </c>
      <c r="J110" s="21" t="n"/>
      <c r="K110" s="18" t="n"/>
      <c r="L110" s="18" t="inlineStr">
        <is>
          <t>Each method tested against a known answer (e.g. normal VaR = μ + zσ); 90/95/99 with uncertainty bands; assumption diagnostics reported</t>
        </is>
      </c>
    </row>
    <row r="111" ht="34.5" customHeight="1" s="36">
      <c r="D111" s="19" t="inlineStr">
        <is>
          <t>02  Compute ES from Parametric and Monte Carlo approaches</t>
        </is>
      </c>
    </row>
    <row r="112" ht="34.5" customHeight="1" s="36">
      <c r="D112" s="19" t="inlineStr">
        <is>
          <t>03  Compare corresponding VaR and ES outcomes</t>
        </is>
      </c>
    </row>
    <row r="113" ht="34.5" customHeight="1" s="36">
      <c r="D113" s="19" t="inlineStr">
        <is>
          <t>04  Explain expected tail losses and data limitations</t>
        </is>
      </c>
    </row>
    <row r="114" ht="34.5" customHeight="1" s="36">
      <c r="D114" s="19" t="inlineStr">
        <is>
          <t>05  ES at 90% and uncertainty bands</t>
        </is>
      </c>
    </row>
    <row r="115" ht="34.5" customHeight="1" s="36">
      <c r="A115" s="17" t="inlineStr">
        <is>
          <t>T8</t>
        </is>
      </c>
      <c r="B115" s="18" t="inlineStr">
        <is>
          <t>EVT and GARCH</t>
        </is>
      </c>
      <c r="C115" s="18" t="inlineStr">
        <is>
          <t>GPD tail fit, a justified threshold choice, EVT-based VaR/ES, compared side by side with baseline VaR and ES; GARCH volatility modeling.</t>
        </is>
      </c>
      <c r="D115" s="19" t="inlineStr">
        <is>
          <t>01  Implement and diagnose conditional volatility (GARCH)</t>
        </is>
      </c>
      <c r="E115" s="18" t="inlineStr">
        <is>
          <t>Sujan</t>
        </is>
      </c>
      <c r="F115" s="18" t="inlineStr">
        <is>
          <t>Core ★</t>
        </is>
      </c>
      <c r="G115" s="18" t="inlineStr">
        <is>
          <t>In Progress</t>
        </is>
      </c>
      <c r="H115" s="20">
        <f>IFERROR(COUNTIFS(Subtasks!$B$5:$B$400,A115,Subtasks!$F$5:$F$400,"Done")/COUNTIF(Subtasks!$B$5:$B$400,A115),0)</f>
        <v/>
      </c>
      <c r="I115" s="18" t="inlineStr">
        <is>
          <t>Week 2</t>
        </is>
      </c>
      <c r="J115" s="21" t="n"/>
      <c r="K115" s="18" t="n"/>
      <c r="L115" s="18" t="inlineStr">
        <is>
          <t>Each method tested against a known answer (e.g. normal VaR = μ + zσ); 90/95/99 with uncertainty bands; assumption diagnostics reported</t>
        </is>
      </c>
    </row>
    <row r="116" ht="34.5" customHeight="1" s="36">
      <c r="D116" s="19" t="inlineStr">
        <is>
          <t>02  Select EVT/GPD exceedance threshold with justification</t>
        </is>
      </c>
    </row>
    <row r="117" ht="34.5" customHeight="1" s="36">
      <c r="D117" s="19" t="inlineStr">
        <is>
          <t>03  Fit tail distribution and test threshold sensitivity</t>
        </is>
      </c>
    </row>
    <row r="118" ht="34.5" customHeight="1" s="36">
      <c r="D118" s="19" t="inlineStr">
        <is>
          <t>04  Estimate EVT VaR and ES at high confidence</t>
        </is>
      </c>
    </row>
    <row r="119" ht="34.5" customHeight="1" s="36">
      <c r="D119" s="19" t="inlineStr">
        <is>
          <t>05  Compare GARCH/EVT and baseline estimates side by side</t>
        </is>
      </c>
    </row>
    <row r="120" ht="34.5" customHeight="1" s="36">
      <c r="D120" s="19" t="inlineStr">
        <is>
          <t>06  Record instability, model assumptions and sparse-tail caveats</t>
        </is>
      </c>
    </row>
    <row r="121" ht="34.5" customHeight="1" s="36">
      <c r="D121" s="19" t="inlineStr">
        <is>
          <t>07  Fit EVT on GARCH-filtered residuals (i.i.d. requirement)</t>
        </is>
      </c>
    </row>
    <row r="122" ht="34.5" customHeight="1" s="36">
      <c r="D122" s="19" t="inlineStr">
        <is>
          <t>08  Mean-excess and parameter-stability plots</t>
        </is>
      </c>
    </row>
    <row r="123" ht="34.5" customHeight="1" s="36">
      <c r="D123" s="19" t="inlineStr">
        <is>
          <t>09  Confidence intervals for ξ, β and EVT VaR/ES</t>
        </is>
      </c>
    </row>
    <row r="124" ht="34.5" customHeight="1" s="36">
      <c r="D124" s="19" t="inlineStr">
        <is>
          <t>10  Rule for EVT at 90% when the quantile falls below the threshold</t>
        </is>
      </c>
    </row>
    <row r="125" ht="34.5" customHeight="1" s="36">
      <c r="D125" s="19" t="inlineStr">
        <is>
          <t>11  Evaluate VaR/ES/EVT performance on stress windows (2008, 2020)</t>
        </is>
      </c>
    </row>
    <row r="126" ht="34.5" customHeight="1" s="36">
      <c r="D126" s="19" t="inlineStr">
        <is>
          <t>12  Feasibility frontier under ERP 3–6% and a resampled frontier</t>
        </is>
      </c>
    </row>
    <row r="127" ht="34.5" customHeight="1" s="36">
      <c r="A127" s="17" t="inlineStr">
        <is>
          <t>T9</t>
        </is>
      </c>
      <c r="B127" s="18" t="inlineStr">
        <is>
          <t>Risk budgeting</t>
        </is>
      </c>
      <c r="C127" s="18" t="inlineStr">
        <is>
          <t>Marginal and component VaR/ES per ETF, used to adjust position sizes.</t>
        </is>
      </c>
      <c r="D127" s="19" t="inlineStr">
        <is>
          <t>01  Define marginal and component VaR methodology</t>
        </is>
      </c>
      <c r="E127" s="18" t="inlineStr">
        <is>
          <t>Sujan</t>
        </is>
      </c>
      <c r="F127" s="18" t="inlineStr">
        <is>
          <t>Supporting</t>
        </is>
      </c>
      <c r="G127" s="18" t="inlineStr">
        <is>
          <t>Done</t>
        </is>
      </c>
      <c r="H127" s="20">
        <f>IFERROR(COUNTIFS(Subtasks!$B$5:$B$400,A127,Subtasks!$F$5:$F$400,"Done")/COUNTIF(Subtasks!$B$5:$B$400,A127),0)</f>
        <v/>
      </c>
      <c r="I127" s="18" t="inlineStr">
        <is>
          <t>Week 2</t>
        </is>
      </c>
      <c r="J127" s="21" t="n"/>
      <c r="K127" s="18" t="n"/>
      <c r="L127" s="18" t="inlineStr">
        <is>
          <t>Component VaR/ES sum to the total (test); risk-budget recommendation stated</t>
        </is>
      </c>
    </row>
    <row r="128" ht="34.5" customHeight="1" s="36">
      <c r="D128" s="19" t="inlineStr">
        <is>
          <t>02  Estimate ETF-level marginal VaR and ES contributions</t>
        </is>
      </c>
    </row>
    <row r="129" ht="34.5" customHeight="1" s="36">
      <c r="D129" s="19" t="inlineStr">
        <is>
          <t>03  Check contribution aggregation and approximations</t>
        </is>
      </c>
    </row>
    <row r="130" ht="34.5" customHeight="1" s="36">
      <c r="D130" s="19" t="inlineStr">
        <is>
          <t>04  Recommend position-size adjustments and rationale</t>
        </is>
      </c>
    </row>
    <row r="131" ht="34.5" customHeight="1" s="36">
      <c r="D131" s="19" t="inlineStr">
        <is>
          <t>05  Risk contribution vs capital weight chart</t>
        </is>
      </c>
    </row>
    <row r="132" ht="34.5" customHeight="1" s="36">
      <c r="D132" s="19" t="inlineStr">
        <is>
          <t>06  Set the component-ES concentration limit (draft: no ETF &gt; 40% of ES)</t>
        </is>
      </c>
    </row>
    <row r="133" ht="34.5" customHeight="1" s="36">
      <c r="A133" s="17" t="inlineStr">
        <is>
          <t>T10</t>
        </is>
      </c>
      <c r="B133" s="18" t="inlineStr">
        <is>
          <t>Backtesting</t>
        </is>
      </c>
      <c r="C133" s="18" t="inlineStr">
        <is>
          <t>Out-of-sample rolling test of the chosen VaR model: Kupiec, Christoffersen, Basel traffic light.</t>
        </is>
      </c>
      <c r="D133" s="19" t="inlineStr">
        <is>
          <t>01  Define chronological out-of-sample rolling window</t>
        </is>
      </c>
      <c r="E133" s="18" t="inlineStr">
        <is>
          <t>Malindu</t>
        </is>
      </c>
      <c r="F133" s="18" t="inlineStr">
        <is>
          <t>Core ★</t>
        </is>
      </c>
      <c r="G133" s="18" t="inlineStr">
        <is>
          <t>Done</t>
        </is>
      </c>
      <c r="H133" s="20">
        <f>IFERROR(COUNTIFS(Subtasks!$B$5:$B$400,A133,Subtasks!$F$5:$F$400,"Done")/COUNTIF(Subtasks!$B$5:$B$400,A133),0)</f>
        <v/>
      </c>
      <c r="I133" s="18" t="inlineStr">
        <is>
          <t>Weeks 2–3</t>
        </is>
      </c>
      <c r="J133" s="21" t="n"/>
      <c r="K133" s="18" t="n"/>
      <c r="L133" s="18" t="inlineStr">
        <is>
          <t>Forecasts use data ≤ t−1 (leakage test); Kupiec/Christoffersen match textbook examples; model chosen on validation, test run once</t>
        </is>
      </c>
    </row>
    <row r="134" ht="34.5" customHeight="1" s="36">
      <c r="D134" s="19" t="inlineStr">
        <is>
          <t>02  Produce date-aligned VaR forecasts without look-ahead</t>
        </is>
      </c>
    </row>
    <row r="135" ht="34.5" customHeight="1" s="36">
      <c r="D135" s="19" t="inlineStr">
        <is>
          <t>03  Count exceptions against the chosen confidence level</t>
        </is>
      </c>
    </row>
    <row r="136" ht="34.5" customHeight="1" s="36">
      <c r="D136" s="19" t="inlineStr">
        <is>
          <t>04  Perform Kupiec unconditional coverage test</t>
        </is>
      </c>
    </row>
    <row r="137" ht="34.5" customHeight="1" s="36">
      <c r="D137" s="19" t="inlineStr">
        <is>
          <t>05  Perform Christoffersen independence/coverage tests</t>
        </is>
      </c>
    </row>
    <row r="138" ht="34.5" customHeight="1" s="36">
      <c r="D138" s="19" t="inlineStr">
        <is>
          <t>06  Apply Basel traffic light only for appropriate VaR settings</t>
        </is>
      </c>
    </row>
    <row r="139" ht="34.5" customHeight="1" s="36">
      <c r="D139" s="19" t="inlineStr">
        <is>
          <t>07  Choose the model on validation data only; freeze before test</t>
        </is>
      </c>
    </row>
    <row r="140" ht="34.5" customHeight="1" s="36">
      <c r="D140" s="19" t="inlineStr">
        <is>
          <t>08  Backtest each method and candidate, not only the chosen one</t>
        </is>
      </c>
    </row>
    <row r="141" ht="34.5" customHeight="1" s="36">
      <c r="D141" s="19" t="inlineStr">
        <is>
          <t>09  Window-length sensitivity (500 vs 1000 days)</t>
        </is>
      </c>
    </row>
    <row r="142" ht="34.5" customHeight="1" s="36">
      <c r="D142" s="19" t="inlineStr">
        <is>
          <t>10  Recompute tests for any user-selected date range (for the app)</t>
        </is>
      </c>
    </row>
    <row r="143" ht="34.5" customHeight="1" s="36">
      <c r="D143" s="19" t="inlineStr">
        <is>
          <t>11  ES / tail-severity check on exceptions</t>
        </is>
      </c>
    </row>
    <row r="144" ht="34.5" customHeight="1" s="36">
      <c r="D144" s="19" t="inlineStr">
        <is>
          <t>12  Out-of-sample check of D7 limits (set on train, test on held-out)</t>
        </is>
      </c>
    </row>
    <row r="145" ht="34.5" customHeight="1" s="36">
      <c r="A145" s="17" t="inlineStr">
        <is>
          <t>T11</t>
        </is>
      </c>
      <c r="B145" s="18" t="inlineStr">
        <is>
          <t>Stress testing</t>
        </is>
      </c>
      <c r="C145" s="18" t="inlineStr">
        <is>
          <t>Portfolio impact in 2008, COVID 2020 and 2022, plus one hypothetical scenario we design.</t>
        </is>
      </c>
      <c r="D145" s="19" t="inlineStr">
        <is>
          <t>01  Define precise 2008, COVID 2020 and 2022 periods</t>
        </is>
      </c>
      <c r="E145" s="18" t="inlineStr">
        <is>
          <t>Dewmini</t>
        </is>
      </c>
      <c r="F145" s="18" t="inlineStr">
        <is>
          <t>Core ★</t>
        </is>
      </c>
      <c r="G145" s="18" t="inlineStr">
        <is>
          <t>In Progress</t>
        </is>
      </c>
      <c r="H145" s="20">
        <f>IFERROR(COUNTIFS(Subtasks!$B$5:$B$400,A145,Subtasks!$F$5:$F$400,"Done")/COUNTIF(Subtasks!$B$5:$B$400,A145),0)</f>
        <v/>
      </c>
      <c r="I145" s="18" t="inlineStr">
        <is>
          <t>Weeks 2–3</t>
        </is>
      </c>
      <c r="J145" s="21" t="n"/>
      <c r="K145" s="18" t="n"/>
      <c r="L145" s="18" t="inlineStr">
        <is>
          <t>Every scenario defined with dates/sources; losses in USD and % NAV; checked against D7</t>
        </is>
      </c>
    </row>
    <row r="146" ht="34.5" customHeight="1" s="36">
      <c r="D146" s="19" t="inlineStr">
        <is>
          <t>02  Recalculate portfolio performance in historical windows</t>
        </is>
      </c>
    </row>
    <row r="147" ht="34.5" customHeight="1" s="36">
      <c r="D147" s="19" t="inlineStr">
        <is>
          <t>03  Design one plausible hypothetical macro/market shock</t>
        </is>
      </c>
    </row>
    <row r="148" ht="34.5" customHeight="1" s="36">
      <c r="D148" s="19" t="inlineStr">
        <is>
          <t>04  Estimate ETF reactions and document assumptions</t>
        </is>
      </c>
    </row>
    <row r="149" ht="34.5" customHeight="1" s="36">
      <c r="D149" s="19" t="inlineStr">
        <is>
          <t>05  Summarize losses, vulnerabilities and possible adjustments</t>
        </is>
      </c>
    </row>
    <row r="150" ht="34.5" customHeight="1" s="36">
      <c r="D150" s="19" t="inlineStr">
        <is>
          <t>06  Asset-level stress attribution: which ETFs drive the loss</t>
        </is>
      </c>
    </row>
    <row r="151" ht="34.5" customHeight="1" s="36">
      <c r="D151" s="19" t="inlineStr">
        <is>
          <t>07  Correlation / joint losses under stress vs calm</t>
        </is>
      </c>
    </row>
    <row r="152" ht="34.5" customHeight="1" s="36">
      <c r="D152" s="19" t="inlineStr">
        <is>
          <t>08  AGG rate sensitivity estimated from DGS10 (no external duration data)</t>
        </is>
      </c>
    </row>
    <row r="153" ht="34.5" customHeight="1" s="36">
      <c r="D153" s="19" t="inlineStr">
        <is>
          <t>09  ETF liquidity under stress (e.g. AGG −7.1% on 2008-10-10)</t>
        </is>
      </c>
    </row>
    <row r="154" ht="34.5" customHeight="1" s="36">
      <c r="D154" s="19" t="inlineStr">
        <is>
          <t>10  Check every scenario against client risk limits</t>
        </is>
      </c>
    </row>
    <row r="155" ht="34.5" customHeight="1" s="36">
      <c r="D155" s="19" t="inlineStr">
        <is>
          <t>11  Optional: longer-history crises via disclosed proxies (2000–02, 1994)</t>
        </is>
      </c>
    </row>
    <row r="156" ht="34.5" customHeight="1" s="36">
      <c r="D156" s="19" t="inlineStr">
        <is>
          <t>12  Research current macro/market vulnerabilities (oil, Fed, yields, credit, USD, AI valuations, stock–bond correlation)</t>
        </is>
      </c>
    </row>
    <row r="157" ht="34.5" customHeight="1" s="36">
      <c r="D157" s="19" t="inlineStr">
        <is>
          <t>13  Compare candidate hypothetical scenarios (energy stagflation, AI unwind/recession, term premium, EM/USD)</t>
        </is>
      </c>
    </row>
    <row r="158" ht="34.5" customHeight="1" s="36">
      <c r="D158" s="19" t="inlineStr">
        <is>
          <t>14  Download and disclose new FRED stress factors (DFII10, BAA10Y, Brent/WTI, DTWEXBGS, VIXCLS, DGS2)</t>
        </is>
      </c>
    </row>
    <row r="159" ht="34.5" customHeight="1" s="36">
      <c r="D159" s="19" t="inlineStr">
        <is>
          <t>15  Calibrate central and severe factor shocks from history, current levels and published scenarios</t>
        </is>
      </c>
    </row>
    <row r="160" ht="34.5" customHeight="1" s="36">
      <c r="D160" s="19" t="inlineStr">
        <is>
          <t>16  Six-factor ETF response model: full vs stress betas, SEs; reject unconditional oil→equity mapping</t>
        </is>
      </c>
    </row>
    <row r="161" ht="34.5" customHeight="1" s="36">
      <c r="D161" s="19" t="inlineStr">
        <is>
          <t>17  Validate factor model by back-casting six episodes (2008, 2020, 2022, Mar 2026)</t>
        </is>
      </c>
    </row>
    <row r="162" ht="34.5" customHeight="1" s="36">
      <c r="D162" s="19" t="inlineStr">
        <is>
          <t>18  Implement validation/hypothetical.py (panel, betas, back-cast, shocks, instant impact)</t>
        </is>
      </c>
    </row>
    <row r="163" ht="34.5" customHeight="1" s="36">
      <c r="D163" s="19" t="inlineStr">
        <is>
          <t>19  12-month scenario path: quarterly rebalancing, costs, D24 spending, liquidity</t>
        </is>
      </c>
    </row>
    <row r="164" ht="34.5" customHeight="1" s="36">
      <c r="D164" s="19" t="inlineStr">
        <is>
          <t>20  Robustness: Monte Carlo over shock ranges and beta SEs; one-at-a-time; XLE/GLD variants</t>
        </is>
      </c>
    </row>
    <row r="165" ht="34.5" customHeight="1" s="36">
      <c r="D165" s="19" t="inlineStr">
        <is>
          <t>21  Scenario-conditional VaR (GARCH-EVT scaled by stressed volatility) vs D7/D23 triggers</t>
        </is>
      </c>
    </row>
    <row r="166" ht="34.5" customHeight="1" s="36">
      <c r="D166" s="19" t="inlineStr">
        <is>
          <t>22  Stress page: scenario/severity selector, factor sliders, contribution waterfall, path chart</t>
        </is>
      </c>
    </row>
    <row r="167" ht="34.5" customHeight="1" s="36">
      <c r="D167" s="19" t="inlineStr">
        <is>
          <t>23  Feed severe-scenario loss and headroom into memo and T20 decision (gold/XLE hedge test in T4.25)</t>
        </is>
      </c>
    </row>
    <row r="168" ht="34.5" customHeight="1" s="36">
      <c r="A168" s="17" t="inlineStr">
        <is>
          <t>T12</t>
        </is>
      </c>
      <c r="B168" s="18" t="inlineStr">
        <is>
          <t>Macro and industry risk analysis (optional)</t>
        </is>
      </c>
      <c r="C168" s="18" t="inlineStr">
        <is>
          <t>Key macro risks (rates, inflation, oil, geopolitics) and their impact on the portfolio, feeding the hypothetical scenario.</t>
        </is>
      </c>
      <c r="D168" s="19" t="inlineStr">
        <is>
          <t>01  Identify the important rates, inflation, oil and geopolitical exposures</t>
        </is>
      </c>
      <c r="E168" s="18" t="inlineStr">
        <is>
          <t>Malindu</t>
        </is>
      </c>
      <c r="F168" s="18" t="inlineStr">
        <is>
          <t>Optional</t>
        </is>
      </c>
      <c r="G168" s="18" t="inlineStr">
        <is>
          <t>Not Started</t>
        </is>
      </c>
      <c r="H168" s="20">
        <f>IFERROR(COUNTIFS(Subtasks!$B$5:$B$400,A168,Subtasks!$F$5:$F$400,"Done")/COUNTIF(Subtasks!$B$5:$B$400,A168),0)</f>
        <v/>
      </c>
      <c r="I168" s="18" t="inlineStr">
        <is>
          <t>Week 3</t>
        </is>
      </c>
      <c r="J168" s="21" t="n"/>
      <c r="K168" s="18" t="n"/>
      <c r="L168" s="18" t="inlineStr">
        <is>
          <t>Optional: kept only if validated against a baseline and logged in INNOVATION_LOG</t>
        </is>
      </c>
    </row>
    <row r="169" ht="34.5" customHeight="1" s="36">
      <c r="D169" s="19" t="inlineStr">
        <is>
          <t>02  Research ETF sensitivity to recession and policy shocks</t>
        </is>
      </c>
    </row>
    <row r="170" ht="34.5" customHeight="1" s="36">
      <c r="D170" s="19" t="inlineStr">
        <is>
          <t>03  Connect industry exposures with the chosen shock scenario</t>
        </is>
      </c>
    </row>
    <row r="171" ht="34.5" customHeight="1" s="36">
      <c r="D171" s="19" t="inlineStr">
        <is>
          <t>04  Write macro-risk notes for the report and stress test</t>
        </is>
      </c>
    </row>
    <row r="172" ht="34.5" customHeight="1" s="36">
      <c r="D172" s="19" t="inlineStr">
        <is>
          <t>05  Macro context from World Bank / IMF open data only</t>
        </is>
      </c>
    </row>
    <row r="173" ht="34.5" customHeight="1" s="36">
      <c r="A173" s="17" t="inlineStr">
        <is>
          <t>T13</t>
        </is>
      </c>
      <c r="B173" s="18" t="inlineStr">
        <is>
          <t>Innovation extension</t>
        </is>
      </c>
      <c r="C173" s="18" t="inlineStr">
        <is>
          <t>One well-justified extra (e.g. regime blend, GARCH-EVT, multi-scale correlation).</t>
        </is>
      </c>
      <c r="D173" s="19" t="inlineStr">
        <is>
          <t>01  Choose one additional model and state a testable hypothesis</t>
        </is>
      </c>
      <c r="E173" s="18" t="inlineStr">
        <is>
          <t>Sujan</t>
        </is>
      </c>
      <c r="F173" s="18" t="inlineStr">
        <is>
          <t>Optional</t>
        </is>
      </c>
      <c r="G173" s="18" t="inlineStr">
        <is>
          <t>Not Started</t>
        </is>
      </c>
      <c r="H173" s="20">
        <f>IFERROR(COUNTIFS(Subtasks!$B$5:$B$400,A173,Subtasks!$F$5:$F$400,"Done")/COUNTIF(Subtasks!$B$5:$B$400,A173),0)</f>
        <v/>
      </c>
      <c r="I173" s="18" t="inlineStr">
        <is>
          <t>Week 3</t>
        </is>
      </c>
      <c r="J173" s="21" t="n"/>
      <c r="K173" s="18" t="n"/>
      <c r="L173" s="18" t="inlineStr">
        <is>
          <t>Optional: kept only if validated against a baseline and logged in INNOVATION_LOG</t>
        </is>
      </c>
    </row>
    <row r="174" ht="34.5" customHeight="1" s="36">
      <c r="D174" s="19" t="inlineStr">
        <is>
          <t>02  Specify the method and baseline comparison fairly</t>
        </is>
      </c>
    </row>
    <row r="175" ht="34.5" customHeight="1" s="36">
      <c r="D175" s="19" t="inlineStr">
        <is>
          <t>03  Implement innovation without future-data leakage</t>
        </is>
      </c>
    </row>
    <row r="176" ht="34.5" customHeight="1" s="36">
      <c r="D176" s="19" t="inlineStr">
        <is>
          <t>04  Backtest innovation and compare standalone methods</t>
        </is>
      </c>
    </row>
    <row r="177" ht="34.5" customHeight="1" s="36">
      <c r="D177" s="19" t="inlineStr">
        <is>
          <t>05  Report gains, failures, limitations and overfitting concerns</t>
        </is>
      </c>
    </row>
    <row r="178" ht="34.5" customHeight="1" s="36">
      <c r="D178" s="19" t="inlineStr">
        <is>
          <t>06  Agree the innovation set (rec. #12) and wavelets decision (rec. #13)</t>
        </is>
      </c>
    </row>
    <row r="179" ht="34.5" customHeight="1" s="36">
      <c r="D179" s="19" t="inlineStr">
        <is>
          <t>07  Evaluate conditional drawdown-at-risk (CDaR) optimisation as innovation</t>
        </is>
      </c>
    </row>
    <row r="180" ht="34.5" customHeight="1" s="36">
      <c r="A180" s="17" t="inlineStr">
        <is>
          <t>T14</t>
        </is>
      </c>
      <c r="B180" s="18" t="inlineStr">
        <is>
          <t>Streamlit app</t>
        </is>
      </c>
      <c r="C180" s="18" t="inlineStr">
        <is>
          <t>Sidebar (confidence 90/95/99, VaR method, backtest dates), portfolio panel (weights, cumulative return, drawdown), risk dashboard (VaR, ES, EVT side by side), backtest panel with traffic light, stress panel, Assumptions page.</t>
        </is>
      </c>
      <c r="D180" s="19" t="inlineStr">
        <is>
          <t>01  Build sidebar: confidence 90/95/99, method and backtest dates</t>
        </is>
      </c>
      <c r="E180" s="18" t="inlineStr">
        <is>
          <t>Malindu</t>
        </is>
      </c>
      <c r="F180" s="18" t="inlineStr">
        <is>
          <t>Core ★</t>
        </is>
      </c>
      <c r="G180" s="18" t="inlineStr">
        <is>
          <t>Not Started</t>
        </is>
      </c>
      <c r="H180" s="20">
        <f>IFERROR(COUNTIFS(Subtasks!$B$5:$B$400,A180,Subtasks!$F$5:$F$400,"Done")/COUNTIF(Subtasks!$B$5:$B$400,A180),0)</f>
        <v/>
      </c>
      <c r="I180" s="18" t="inlineStr">
        <is>
          <t>Weeks 2–3</t>
        </is>
      </c>
      <c r="J180" s="21" t="n"/>
      <c r="K180" s="18" t="n"/>
      <c r="L180" s="18" t="inlineStr">
        <is>
          <t>Every brief p.5–6 panel present; app reads outputs only; runs with one command</t>
        </is>
      </c>
    </row>
    <row r="181" ht="34.5" customHeight="1" s="36">
      <c r="D181" s="19" t="inlineStr">
        <is>
          <t>02  Build ETF weights and cumulative return portfolio panel</t>
        </is>
      </c>
    </row>
    <row r="182" ht="34.5" customHeight="1" s="36">
      <c r="D182" s="19" t="inlineStr">
        <is>
          <t>03  Add drawdown figure and KPI section</t>
        </is>
      </c>
    </row>
    <row r="183" ht="34.5" customHeight="1" s="36">
      <c r="D183" s="19" t="inlineStr">
        <is>
          <t>04  Create VaR/ES/EVT side-by-side risk dashboard</t>
        </is>
      </c>
    </row>
    <row r="184" ht="34.5" customHeight="1" s="36">
      <c r="D184" s="19" t="inlineStr">
        <is>
          <t>05  Build backtesting results and traffic-light panel</t>
        </is>
      </c>
    </row>
    <row r="185" ht="34.5" customHeight="1" s="36">
      <c r="D185" s="19" t="inlineStr">
        <is>
          <t>06  Build historical/hypothetical stress visualization</t>
        </is>
      </c>
    </row>
    <row r="186" ht="34.5" customHeight="1" s="36">
      <c r="D186" s="19" t="inlineStr">
        <is>
          <t>07  Add Assumptions page and test app interactions</t>
        </is>
      </c>
    </row>
    <row r="187" ht="34.5" customHeight="1" s="36">
      <c r="D187" s="19" t="inlineStr">
        <is>
          <t>08  Shared loader: app reads outputs only, cached; no model code in UI</t>
        </is>
      </c>
    </row>
    <row r="188" ht="34.5" customHeight="1" s="36">
      <c r="D188" s="19" t="inlineStr">
        <is>
          <t>09  Decision &amp; tear-sheet page (P3, limits, monitoring triggers)</t>
        </is>
      </c>
    </row>
    <row r="189" ht="34.5" customHeight="1" s="36">
      <c r="D189" s="19" t="inlineStr">
        <is>
          <t>10  AI disclosure &amp; sources page</t>
        </is>
      </c>
    </row>
    <row r="190" ht="34.5" customHeight="1" s="36">
      <c r="D190" s="19" t="inlineStr">
        <is>
          <t>11  Export &amp; reproducibility page (CSV/figures download)</t>
        </is>
      </c>
    </row>
    <row r="191" ht="34.5" customHeight="1" s="36">
      <c r="D191" s="19" t="inlineStr">
        <is>
          <t>12  Plain-language labels for a non-technical committee (units, horizon on every number)</t>
        </is>
      </c>
    </row>
    <row r="192" ht="34.5" customHeight="1" s="36">
      <c r="D192" s="19" t="inlineStr">
        <is>
          <t>13  What-if sliders on decision page: spending, growth, costs, ERP → required return, gap, sustainable spending</t>
        </is>
      </c>
    </row>
    <row r="193" ht="34.5" customHeight="1" s="36">
      <c r="A193" s="17" t="inlineStr">
        <is>
          <t>T15</t>
        </is>
      </c>
      <c r="B193" s="18" t="inlineStr">
        <is>
          <t>Assumptions and Limitations</t>
        </is>
      </c>
      <c r="C193" s="18" t="inlineStr">
        <is>
          <t>A plain-language page in the app and a section in the report, stating what the model does not capture.</t>
        </is>
      </c>
      <c r="D193" s="19" t="inlineStr">
        <is>
          <t>01  Document data universe, dates, sourcing and limitations</t>
        </is>
      </c>
      <c r="E193" s="18" t="inlineStr">
        <is>
          <t>Raveena + Dewmini</t>
        </is>
      </c>
      <c r="F193" s="18" t="inlineStr">
        <is>
          <t>Core ★</t>
        </is>
      </c>
      <c r="G193" s="18" t="inlineStr">
        <is>
          <t>In Progress</t>
        </is>
      </c>
      <c r="H193" s="20">
        <f>IFERROR(COUNTIFS(Subtasks!$B$5:$B$400,A193,Subtasks!$F$5:$F$400,"Done")/COUNTIF(Subtasks!$B$5:$B$400,A193),0)</f>
        <v/>
      </c>
      <c r="I193" s="18" t="inlineStr">
        <is>
          <t>Week 3</t>
        </is>
      </c>
      <c r="J193" s="21" t="n"/>
      <c r="K193" s="18" t="n"/>
      <c r="L193" s="18" t="inlineStr">
        <is>
          <t>App page and report section generated from ASSUMPTIONS_LIMITATIONS.md</t>
        </is>
      </c>
    </row>
    <row r="194" ht="34.5" customHeight="1" s="36">
      <c r="D194" s="19" t="inlineStr">
        <is>
          <t>02  Explain distribution, volatility and dependence assumptions</t>
        </is>
      </c>
    </row>
    <row r="195" ht="34.5" customHeight="1" s="36">
      <c r="D195" s="19" t="inlineStr">
        <is>
          <t>03  Explain unseen shocks, low liquidity and tail-data scarcity</t>
        </is>
      </c>
    </row>
    <row r="196" ht="34.5" customHeight="1" s="36">
      <c r="D196" s="19" t="inlineStr">
        <is>
          <t>04  Clarify what backtesting can and cannot establish</t>
        </is>
      </c>
    </row>
    <row r="197" ht="34.5" customHeight="1" s="36">
      <c r="D197" s="19" t="inlineStr">
        <is>
          <t>05  Ensure app and report state identical assumptions</t>
        </is>
      </c>
    </row>
    <row r="198" ht="34.5" customHeight="1" s="36">
      <c r="D198" s="19" t="inlineStr">
        <is>
          <t>06  Add return-objective, benchmark and risk-limit assumptions (CAPM gold, rf level, ERP, USD spending, tax, in-sample calibration)</t>
        </is>
      </c>
    </row>
    <row r="199" ht="34.5" customHeight="1" s="36">
      <c r="A199" s="17" t="inlineStr">
        <is>
          <t>T16</t>
        </is>
      </c>
      <c r="B199" s="18" t="inlineStr">
        <is>
          <t>Written deliverables</t>
        </is>
      </c>
      <c r="C199" s="18" t="inlineStr">
        <is>
          <t>Technical report (7 to 15 pages), one-page tear sheet, one-page investment committee memo (accept, adjust the risk limit, or reject).</t>
        </is>
      </c>
      <c r="D199" s="19" t="inlineStr">
        <is>
          <t>01  Outline 7–15 page technical report based on actual results</t>
        </is>
      </c>
      <c r="E199" s="18" t="inlineStr">
        <is>
          <t>Raveena</t>
        </is>
      </c>
      <c r="F199" s="18" t="inlineStr">
        <is>
          <t>Core ★</t>
        </is>
      </c>
      <c r="G199" s="18" t="inlineStr">
        <is>
          <t>Not Started</t>
        </is>
      </c>
      <c r="H199" s="20">
        <f>IFERROR(COUNTIFS(Subtasks!$B$5:$B$400,A199,Subtasks!$F$5:$F$400,"Done")/COUNTIF(Subtasks!$B$5:$B$400,A199),0)</f>
        <v/>
      </c>
      <c r="I199" s="18" t="inlineStr">
        <is>
          <t>Week 3</t>
        </is>
      </c>
      <c r="J199" s="21" t="n"/>
      <c r="K199" s="18" t="n"/>
      <c r="L199" s="18" t="inlineStr">
        <is>
          <t>Every number traces to outputs/; report 7–15 pp; tear sheet and memo one page each</t>
        </is>
      </c>
    </row>
    <row r="200" ht="34.5" customHeight="1" s="36">
      <c r="D200" s="19" t="inlineStr">
        <is>
          <t>02  Complete methods, evidence, tests and limitations writeup</t>
        </is>
      </c>
    </row>
    <row r="201" ht="34.5" customHeight="1" s="36">
      <c r="D201" s="19" t="inlineStr">
        <is>
          <t>03  Create concise one-page portfolio tear sheet</t>
        </is>
      </c>
    </row>
    <row r="202" ht="34.5" customHeight="1" s="36">
      <c r="D202" s="19" t="inlineStr">
        <is>
          <t>04  Write one-page investment committee decision memo</t>
        </is>
      </c>
    </row>
    <row r="203" ht="34.5" customHeight="1" s="36">
      <c r="D203" s="19" t="inlineStr">
        <is>
          <t>05  Cross-check all numbers between report, memo and app</t>
        </is>
      </c>
    </row>
    <row r="204" ht="34.5" customHeight="1" s="36">
      <c r="D204" s="19" t="inlineStr">
        <is>
          <t>06  Data sources and cleaning steps section</t>
        </is>
      </c>
    </row>
    <row r="205" ht="34.5" customHeight="1" s="36">
      <c r="D205" s="19" t="inlineStr">
        <is>
          <t>07  Report sections: return objective &amp; sustainable spending; benchmark and risk-limit research (appendix)</t>
        </is>
      </c>
    </row>
    <row r="206" ht="34.5" customHeight="1" s="36">
      <c r="A206" s="17" t="inlineStr">
        <is>
          <t>T17</t>
        </is>
      </c>
      <c r="B206" s="18" t="inlineStr">
        <is>
          <t>Repository and reproducibility</t>
        </is>
      </c>
      <c r="C206" s="18" t="inlineStr">
        <is>
          <t>Documented GitHub repo, README, app runs with one command, tested on a clean computer.</t>
        </is>
      </c>
      <c r="D206" s="19" t="inlineStr">
        <is>
          <t>01  Finalize organized, documented GitHub repository</t>
        </is>
      </c>
      <c r="E206" s="18" t="inlineStr">
        <is>
          <t>Malindu</t>
        </is>
      </c>
      <c r="F206" s="18" t="inlineStr">
        <is>
          <t>Core ★</t>
        </is>
      </c>
      <c r="G206" s="18" t="inlineStr">
        <is>
          <t>In Progress</t>
        </is>
      </c>
      <c r="H206" s="20">
        <f>IFERROR(COUNTIFS(Subtasks!$B$5:$B$400,A206,Subtasks!$F$5:$F$400,"Done")/COUNTIF(Subtasks!$B$5:$B$400,A206),0)</f>
        <v/>
      </c>
      <c r="I206" s="18" t="inlineStr">
        <is>
          <t>Week 3</t>
        </is>
      </c>
      <c r="J206" s="21" t="n"/>
      <c r="K206" s="18" t="n"/>
      <c r="L206" s="18" t="inlineStr">
        <is>
          <t>Fresh clone + `pip install -r requirements.txt` + `python run_all.py --app` works on a clean machine</t>
        </is>
      </c>
    </row>
    <row r="207" ht="34.5" customHeight="1" s="36">
      <c r="D207" s="19" t="inlineStr">
        <is>
          <t>02  Pin package versions and supply reproducible setup</t>
        </is>
      </c>
    </row>
    <row r="208" ht="34.5" customHeight="1" s="36">
      <c r="D208" s="19" t="inlineStr">
        <is>
          <t>03  Provide one-command Streamlit run instructions</t>
        </is>
      </c>
    </row>
    <row r="209" ht="34.5" customHeight="1" s="36">
      <c r="D209" s="19" t="inlineStr">
        <is>
          <t>04  Test clean installation and reproduce key results</t>
        </is>
      </c>
    </row>
    <row r="210" ht="34.5" customHeight="1" s="36">
      <c r="D210" s="19" t="inlineStr">
        <is>
          <t>05  Log reproducibility evidence and known environment issues</t>
        </is>
      </c>
    </row>
    <row r="211" ht="34.5" customHeight="1" s="36">
      <c r="D211" s="19" t="inlineStr">
        <is>
          <t>06  Decide which reference files to publish (third-party decks)</t>
        </is>
      </c>
    </row>
    <row r="212" ht="34.5" customHeight="1" s="36">
      <c r="D212" s="19" t="inlineStr">
        <is>
          <t>07  Optional: deploy to Streamlit Community Cloud</t>
        </is>
      </c>
    </row>
    <row r="213" ht="34.5" customHeight="1" s="36">
      <c r="D213" s="19" t="inlineStr">
        <is>
          <t>08  First git commit and judge-accessible GitHub remote</t>
        </is>
      </c>
    </row>
    <row r="214" ht="34.5" customHeight="1" s="36">
      <c r="D214" s="19" t="inlineStr">
        <is>
          <t>09  Make research evidence reproducible from the one-command run (run_all --research)</t>
        </is>
      </c>
    </row>
    <row r="215" ht="34.5" customHeight="1" s="36">
      <c r="A215" s="17" t="inlineStr">
        <is>
          <t>T18</t>
        </is>
      </c>
      <c r="B215" s="18" t="inlineStr">
        <is>
          <t>AI disclosure and validation log</t>
        </is>
      </c>
      <c r="C215" s="18" t="inlineStr">
        <is>
          <t>Table of AI tools used, purpose, how we checked the output, and which parts were AI-generated.</t>
        </is>
      </c>
      <c r="D215" s="19" t="inlineStr">
        <is>
          <t>01  Keep a running list of AI tools and their purposes</t>
        </is>
      </c>
      <c r="E215" s="18" t="inlineStr">
        <is>
          <t>Malindu</t>
        </is>
      </c>
      <c r="F215" s="18" t="inlineStr">
        <is>
          <t>Core ★</t>
        </is>
      </c>
      <c r="G215" s="18" t="inlineStr">
        <is>
          <t>In Progress</t>
        </is>
      </c>
      <c r="H215" s="20">
        <f>IFERROR(COUNTIFS(Subtasks!$B$5:$B$400,A215,Subtasks!$F$5:$F$400,"Done")/COUNTIF(Subtasks!$B$5:$B$400,A215),0)</f>
        <v/>
      </c>
      <c r="I215" s="18" t="inlineStr">
        <is>
          <t>Ongoing</t>
        </is>
      </c>
      <c r="J215" s="21" t="n"/>
      <c r="K215" s="18" t="n"/>
      <c r="L215" s="18" t="inlineStr">
        <is>
          <t>Disclosure in the brief's 4 columns; every validation-log row signed by a team member</t>
        </is>
      </c>
    </row>
    <row r="216" ht="34.5" customHeight="1" s="36">
      <c r="D216" s="19" t="inlineStr">
        <is>
          <t>02  Record which code, figures or text used AI assistance</t>
        </is>
      </c>
    </row>
    <row r="217" ht="34.5" customHeight="1" s="36">
      <c r="D217" s="19" t="inlineStr">
        <is>
          <t>03  Document manual verification, corrections and tests</t>
        </is>
      </c>
    </row>
    <row r="218" ht="34.5" customHeight="1" s="36">
      <c r="D218" s="19" t="inlineStr">
        <is>
          <t>04  Review completeness of the log before submission</t>
        </is>
      </c>
    </row>
    <row r="219" ht="34.5" customHeight="1" s="36">
      <c r="D219" s="19" t="inlineStr">
        <is>
          <t>05  Use the brief's four disclosure columns exactly</t>
        </is>
      </c>
    </row>
    <row r="220" ht="34.5" customHeight="1" s="36">
      <c r="D220" s="19" t="inlineStr">
        <is>
          <t>06  Every member can explain each module (judging rule)</t>
        </is>
      </c>
    </row>
    <row r="221" ht="34.5" customHeight="1" s="36">
      <c r="D221" s="19" t="inlineStr">
        <is>
          <t>07  Record Claude Code use to date in the brief's four columns (tool, purpose, human validation, material components)</t>
        </is>
      </c>
    </row>
    <row r="222" ht="34.5" customHeight="1" s="36">
      <c r="D222" s="19" t="inlineStr">
        <is>
          <t>08  Team sign-off of every HUMAN_VALIDATION_LOG entry (9 unsigned on 2026-10-28)</t>
        </is>
      </c>
    </row>
    <row r="223" ht="34.5" customHeight="1" s="36">
      <c r="A223" s="17" t="inlineStr">
        <is>
          <t>T19</t>
        </is>
      </c>
      <c r="B223" s="18" t="inlineStr">
        <is>
          <t>Pitch and Q&amp;A prep</t>
        </is>
      </c>
      <c r="C223" s="18" t="inlineStr">
        <is>
          <t>10 to 12 minute deck, plus practice answering judges’ questions (only if we reach the final 5).</t>
        </is>
      </c>
      <c r="D223" s="19" t="inlineStr">
        <is>
          <t>01  Create a 10–12 minute presentation storyline and deck</t>
        </is>
      </c>
      <c r="E223" s="18" t="inlineStr">
        <is>
          <t>All members</t>
        </is>
      </c>
      <c r="F223" s="18" t="inlineStr">
        <is>
          <t>Conditional</t>
        </is>
      </c>
      <c r="G223" s="18" t="inlineStr">
        <is>
          <t>Not Started</t>
        </is>
      </c>
      <c r="H223" s="20">
        <f>IFERROR(COUNTIFS(Subtasks!$B$5:$B$400,A223,Subtasks!$F$5:$F$400,"Done")/COUNTIF(Subtasks!$B$5:$B$400,A223),0)</f>
        <v/>
      </c>
      <c r="I223" s="18" t="inlineStr">
        <is>
          <t>If finalist</t>
        </is>
      </c>
      <c r="J223" s="21" t="n"/>
      <c r="K223" s="18" t="n"/>
      <c r="L223" s="18" t="inlineStr">
        <is>
          <t>Only if finalist: 10–12 min deck rehearsed; Q&amp;A bank covers assumptions, VaR, crisis results</t>
        </is>
      </c>
    </row>
    <row r="224" ht="34.5" customHeight="1" s="36">
      <c r="D224" s="19" t="inlineStr">
        <is>
          <t>02  Assign presenters and rehearse timing</t>
        </is>
      </c>
    </row>
    <row r="225" ht="34.5" customHeight="1" s="36">
      <c r="D225" s="19" t="inlineStr">
        <is>
          <t>03  Prepare judges’ Q&amp;A on assumptions, VaR and crisis results</t>
        </is>
      </c>
    </row>
    <row r="226" ht="34.5" customHeight="1" s="36">
      <c r="D226" s="19" t="inlineStr">
        <is>
          <t>04  Run mock Q&amp;A and refine explanations</t>
        </is>
      </c>
    </row>
    <row r="227" ht="34.5" customHeight="1" s="36">
      <c r="A227" s="17" t="inlineStr">
        <is>
          <t>T20</t>
        </is>
      </c>
      <c r="B227" s="18" t="inlineStr">
        <is>
          <t>Decision gate &amp; final recommendation (P3)</t>
        </is>
      </c>
      <c r="C227" s="18" t="inlineStr">
        <is>
          <t>Decision gate &amp; final recommendation (P3)</t>
        </is>
      </c>
      <c r="D227" s="19" t="inlineStr">
        <is>
          <t>01  Assemble committee evidence: six panels (allocation, return, loss limit, tail, model trust, governance)</t>
        </is>
      </c>
      <c r="E227" s="18" t="inlineStr">
        <is>
          <t>All members</t>
        </is>
      </c>
      <c r="F227" s="18" t="inlineStr">
        <is>
          <t>Core ★</t>
        </is>
      </c>
      <c r="G227" s="18" t="inlineStr">
        <is>
          <t>In Progress</t>
        </is>
      </c>
      <c r="H227" s="20">
        <f>IFERROR(COUNTIFS(Subtasks!$B$5:$B$400,A227,Subtasks!$F$5:$F$400,"Done")/COUNTIF(Subtasks!$B$5:$B$400,A227),0)</f>
        <v/>
      </c>
      <c r="I227" s="18" t="inlineStr">
        <is>
          <t>Week 3</t>
        </is>
      </c>
      <c r="J227" s="21" t="n"/>
      <c r="K227" s="18" t="n"/>
      <c r="L227" s="18" t="inlineStr">
        <is>
          <t>Gate decision recorded per candidate; P3 in brief wording (accept / adjust risk limit / reject)</t>
        </is>
      </c>
    </row>
    <row r="228" ht="34.5" customHeight="1" s="36">
      <c r="D228" s="19" t="inlineStr">
        <is>
          <t>02  Suitability gate: validated and within client limits?</t>
        </is>
      </c>
    </row>
    <row r="229" ht="34.5" customHeight="1" s="36">
      <c r="D229" s="19" t="inlineStr">
        <is>
          <t>03  Revise &amp; retest loop when the gate fails</t>
        </is>
      </c>
    </row>
    <row r="230" ht="34.5" customHeight="1" s="36">
      <c r="D230" s="19" t="inlineStr">
        <is>
          <t>04  Final P3 recommendation: weights, horizon, expected real return, downside</t>
        </is>
      </c>
    </row>
    <row r="231" ht="34.5" customHeight="1" s="36">
      <c r="D231" s="19" t="inlineStr">
        <is>
          <t>05  Monitoring triggers and exit / de-risking rules</t>
        </is>
      </c>
    </row>
    <row r="232" ht="34.5" customHeight="1" s="36">
      <c r="D232" s="19" t="inlineStr">
        <is>
          <t>06  Drawdown ↔ spending trade-off table in memo and app</t>
        </is>
      </c>
    </row>
    <row r="233" ht="34.5" customHeight="1" s="36">
      <c r="D233" s="19" t="inlineStr">
        <is>
          <t>07  Walk-forward (rolling-origin) validation of the selection rule (O1 vs O2), origins 2009–2021, CMA as of each origin</t>
        </is>
      </c>
    </row>
    <row r="234" ht="34.5" customHeight="1" s="36">
      <c r="D234" s="19" t="inlineStr">
        <is>
          <t>08  Recalibrate D23 rolling-ES99 watch trigger (fires on 26% of days at 2.0%)</t>
        </is>
      </c>
    </row>
    <row r="235" ht="34.5" customHeight="1" s="36">
      <c r="D235" s="19" t="inlineStr">
        <is>
          <t>09  Endowment sustainability &amp; recovery stress test: 15/20/25% falls, 1/3/5/7-year and lost-decade recoveries, D24 at 2.8%, costs, taxes, inflation; market view; bootstrap</t>
        </is>
      </c>
    </row>
    <row r="236" ht="34.5" customHeight="1" s="36">
      <c r="D236" s="19" t="inlineStr">
        <is>
          <t>10  Audit fix: 5-year drawdown test seed-tuned (4k paths) → 32k paths, block-length sensitivity; D30 2.8% propagated to hurdle and spending</t>
        </is>
      </c>
    </row>
    <row r="237" ht="34.5" customHeight="1" s="36">
      <c r="A237" s="17" t="inlineStr">
        <is>
          <t>T21</t>
        </is>
      </c>
      <c r="B237" s="18" t="inlineStr">
        <is>
          <t>Quality gates &amp; compliance QA</t>
        </is>
      </c>
      <c r="C237" s="18" t="inlineStr">
        <is>
          <t>Quality gates &amp; compliance QA</t>
        </is>
      </c>
      <c r="D237" s="19" t="inlineStr">
        <is>
          <t>01  Compliance check after every stage (R1–R20)</t>
        </is>
      </c>
      <c r="E237" s="18" t="inlineStr">
        <is>
          <t>Malindu</t>
        </is>
      </c>
      <c r="F237" s="18" t="inlineStr">
        <is>
          <t>Core ★</t>
        </is>
      </c>
      <c r="G237" s="18" t="inlineStr">
        <is>
          <t>In Progress</t>
        </is>
      </c>
      <c r="H237" s="20">
        <f>IFERROR(COUNTIFS(Subtasks!$B$5:$B$400,A237,Subtasks!$F$5:$F$400,"Done")/COUNTIF(Subtasks!$B$5:$B$400,A237),0)</f>
        <v/>
      </c>
      <c r="I237" s="18" t="inlineStr">
        <is>
          <t>Ongoing</t>
        </is>
      </c>
      <c r="J237" s="21" t="n"/>
      <c r="K237" s="18" t="n"/>
      <c r="L237" s="18" t="inlineStr">
        <is>
          <t>compliance-validator passes all R1–R20</t>
        </is>
      </c>
    </row>
    <row r="238" ht="34.5" customHeight="1" s="36">
      <c r="D238" s="19" t="inlineStr">
        <is>
          <t>02  Out-of-sample integrity gate: no leakage, frozen test, trial log</t>
        </is>
      </c>
    </row>
    <row r="239" ht="34.5" customHeight="1" s="36">
      <c r="D239" s="19" t="inlineStr">
        <is>
          <t>03  Calculation audit: units, signs, horizon consistent across stages</t>
        </is>
      </c>
    </row>
    <row r="240" ht="34.5" customHeight="1" s="36">
      <c r="D240" s="19" t="inlineStr">
        <is>
          <t>04  App / code QA: required panels, one-command run, tests green</t>
        </is>
      </c>
    </row>
    <row r="241" ht="34.5" customHeight="1" s="36">
      <c r="D241" s="19" t="inlineStr">
        <is>
          <t>05  Update FigJam board to match approved decisions (edit list in docs/research/PROJECT_REVIEW_2026-10-28.md §4)</t>
        </is>
      </c>
    </row>
    <row r="242" ht="34.5" customHeight="1" s="36">
      <c r="D242" s="19" t="inlineStr">
        <is>
          <t>06  Add R16–R20 to compliance matrix; update every status with evidence</t>
        </is>
      </c>
    </row>
    <row r="243" ht="34.5" customHeight="1" s="36">
      <c r="D243" s="19" t="inlineStr">
        <is>
          <t>07  Record innovations to date in the innovation log</t>
        </is>
      </c>
    </row>
    <row r="244" ht="34.5" customHeight="1" s="36">
      <c r="D244" s="19" t="inlineStr">
        <is>
          <t>08  Generate both Excel trackers from the repo tracker (tracking/export_excel.py)</t>
        </is>
      </c>
    </row>
    <row r="245" ht="15.75" customHeight="1" s="36"/>
    <row r="246" ht="15.75" customHeight="1" s="36"/>
    <row r="247" ht="15.75" customHeight="1" s="36"/>
    <row r="248" ht="15.75" customHeight="1" s="36"/>
    <row r="249" ht="15.75" customHeight="1" s="36"/>
    <row r="250" ht="15.75" customHeight="1" s="36"/>
    <row r="251" ht="15.75" customHeight="1" s="36"/>
    <row r="252" ht="15.75" customHeight="1" s="36"/>
    <row r="253" ht="15.75" customHeight="1" s="36"/>
    <row r="254" ht="15.75" customHeight="1" s="36"/>
    <row r="255" ht="15.75" customHeight="1" s="36"/>
    <row r="256" ht="15.75" customHeight="1" s="36"/>
    <row r="257" ht="15.75" customHeight="1" s="36"/>
    <row r="258" ht="15.75" customHeight="1" s="36"/>
    <row r="259" ht="15.75" customHeight="1" s="36"/>
    <row r="260" ht="15.75" customHeight="1" s="36"/>
    <row r="261" ht="15.75" customHeight="1" s="36"/>
    <row r="262" ht="15.75" customHeight="1" s="36"/>
    <row r="263" ht="15.75" customHeight="1" s="36"/>
    <row r="264" ht="15.75" customHeight="1" s="36"/>
    <row r="265" ht="15.75" customHeight="1" s="36"/>
    <row r="266" ht="15.75" customHeight="1" s="36"/>
    <row r="267" ht="15.75" customHeight="1" s="36"/>
    <row r="268" ht="15.75" customHeight="1" s="36"/>
    <row r="269" ht="15.75" customHeight="1" s="36"/>
    <row r="270" ht="15.75" customHeight="1" s="36"/>
    <row r="271" ht="15.75" customHeight="1" s="36"/>
    <row r="272" ht="15.75" customHeight="1" s="36"/>
    <row r="273" ht="15.75" customHeight="1" s="36"/>
    <row r="274" ht="15.75" customHeight="1" s="36"/>
    <row r="275" ht="15.75" customHeight="1" s="36"/>
    <row r="276" ht="15.75" customHeight="1" s="36"/>
    <row r="277" ht="15.75" customHeight="1" s="36"/>
    <row r="278" ht="15.75" customHeight="1" s="36"/>
    <row r="279" ht="15.75" customHeight="1" s="36"/>
    <row r="280" ht="15.75" customHeight="1" s="36"/>
    <row r="281" ht="15.75" customHeight="1" s="36"/>
    <row r="282" ht="15.75" customHeight="1" s="36"/>
    <row r="283" ht="15.75" customHeight="1" s="36"/>
    <row r="284" ht="15.75" customHeight="1" s="36"/>
    <row r="285" ht="15.75" customHeight="1" s="36"/>
    <row r="286" ht="15.75" customHeight="1" s="36"/>
    <row r="287" ht="15.75" customHeight="1" s="36"/>
    <row r="288" ht="15.75" customHeight="1" s="36"/>
    <row r="289" ht="15.75" customHeight="1" s="36"/>
    <row r="290" ht="15.75" customHeight="1" s="36"/>
    <row r="291" ht="15.75" customHeight="1" s="36"/>
    <row r="292" ht="15.75" customHeight="1" s="36"/>
    <row r="293" ht="15.75" customHeight="1" s="36"/>
    <row r="294" ht="15.75" customHeight="1" s="36"/>
    <row r="295" ht="15.75" customHeight="1" s="36"/>
    <row r="296" ht="15.75" customHeight="1" s="36"/>
    <row r="297" ht="15.75" customHeight="1" s="36"/>
    <row r="298" ht="15.75" customHeight="1" s="36"/>
    <row r="299" ht="15.75" customHeight="1" s="36"/>
    <row r="300" ht="15.75" customHeight="1" s="36"/>
    <row r="301" ht="15.75" customHeight="1" s="36"/>
    <row r="302" ht="15.75" customHeight="1" s="36"/>
    <row r="303" ht="15.75" customHeight="1" s="36"/>
    <row r="304" ht="15.75" customHeight="1" s="36"/>
    <row r="305" ht="15.75" customHeight="1" s="36"/>
    <row r="306" ht="15.75" customHeight="1" s="36"/>
    <row r="307" ht="15.75" customHeight="1" s="36"/>
    <row r="308" ht="15.75" customHeight="1" s="36"/>
    <row r="309" ht="15.75" customHeight="1" s="36"/>
    <row r="310" ht="15.75" customHeight="1" s="36"/>
    <row r="311" ht="15.75" customHeight="1" s="36"/>
    <row r="312" ht="15.75" customHeight="1" s="36"/>
    <row r="313" ht="15.75" customHeight="1" s="36"/>
    <row r="314" ht="15.75" customHeight="1" s="36"/>
    <row r="315" ht="15.75" customHeight="1" s="36"/>
    <row r="316" ht="15.75" customHeight="1" s="36"/>
    <row r="317" ht="15.75" customHeight="1" s="36"/>
    <row r="318" ht="15.75" customHeight="1" s="36"/>
    <row r="319" ht="15.75" customHeight="1" s="36"/>
    <row r="320" ht="15.75" customHeight="1" s="36"/>
    <row r="321" ht="15.75" customHeight="1" s="36"/>
    <row r="322" ht="15.75" customHeight="1" s="36"/>
    <row r="323" ht="15.75" customHeight="1" s="36"/>
    <row r="324" ht="15.75" customHeight="1" s="36"/>
    <row r="325" ht="15.75" customHeight="1" s="36"/>
    <row r="326" ht="15.75" customHeight="1" s="36"/>
    <row r="327" ht="15.75" customHeight="1" s="36"/>
    <row r="328" ht="15.75" customHeight="1" s="36"/>
    <row r="329" ht="15.75" customHeight="1" s="36"/>
    <row r="330" ht="15.75" customHeight="1" s="36"/>
    <row r="331" ht="15.75" customHeight="1" s="36"/>
    <row r="332" ht="15.75" customHeight="1" s="36"/>
    <row r="333" ht="15.75" customHeight="1" s="36"/>
    <row r="334" ht="15.75" customHeight="1" s="36"/>
    <row r="335" ht="15.75" customHeight="1" s="36"/>
    <row r="336" ht="15.75" customHeight="1" s="36"/>
    <row r="337" ht="15.75" customHeight="1" s="36"/>
    <row r="338" ht="15.75" customHeight="1" s="36"/>
    <row r="339" ht="15.75" customHeight="1" s="36"/>
    <row r="340" ht="15.75" customHeight="1" s="36"/>
    <row r="341" ht="15.75" customHeight="1" s="36"/>
    <row r="342" ht="15.75" customHeight="1" s="36"/>
    <row r="343" ht="15.75" customHeight="1" s="36"/>
    <row r="344" ht="15.75" customHeight="1" s="36"/>
    <row r="345" ht="15.75" customHeight="1" s="36"/>
    <row r="346" ht="15.75" customHeight="1" s="36"/>
    <row r="347" ht="15.75" customHeight="1" s="36"/>
    <row r="348" ht="15.75" customHeight="1" s="36"/>
    <row r="349" ht="15.75" customHeight="1" s="36"/>
    <row r="350" ht="15.75" customHeight="1" s="36"/>
    <row r="351" ht="15.75" customHeight="1" s="36"/>
    <row r="352" ht="15.75" customHeight="1" s="36"/>
    <row r="353" ht="15.75" customHeight="1" s="36"/>
    <row r="354" ht="15.75" customHeight="1" s="36"/>
    <row r="355" ht="15.75" customHeight="1" s="36"/>
    <row r="356" ht="15.75" customHeight="1" s="36"/>
    <row r="357" ht="15.75" customHeight="1" s="36"/>
    <row r="358" ht="15.75" customHeight="1" s="36"/>
    <row r="359" ht="15.75" customHeight="1" s="36"/>
    <row r="360" ht="15.75" customHeight="1" s="36"/>
    <row r="361" ht="15.75" customHeight="1" s="36"/>
    <row r="362" ht="15.75" customHeight="1" s="36"/>
    <row r="363" ht="15.75" customHeight="1" s="36"/>
    <row r="364" ht="15.75" customHeight="1" s="36"/>
    <row r="365" ht="15.75" customHeight="1" s="36"/>
    <row r="366" ht="15.75" customHeight="1" s="36"/>
    <row r="367" ht="15.75" customHeight="1" s="36"/>
    <row r="368" ht="15.75" customHeight="1" s="36"/>
    <row r="369" ht="15.75" customHeight="1" s="36"/>
    <row r="370" ht="15.75" customHeight="1" s="36"/>
    <row r="371" ht="15.75" customHeight="1" s="36"/>
    <row r="372" ht="15.75" customHeight="1" s="36"/>
    <row r="373" ht="15.75" customHeight="1" s="36"/>
    <row r="374" ht="15.75" customHeight="1" s="36"/>
    <row r="375" ht="15.75" customHeight="1" s="36"/>
    <row r="376" ht="15.75" customHeight="1" s="36"/>
    <row r="377" ht="15.75" customHeight="1" s="36"/>
    <row r="378" ht="15.75" customHeight="1" s="36"/>
    <row r="379" ht="15.75" customHeight="1" s="36"/>
    <row r="380" ht="15.75" customHeight="1" s="36"/>
    <row r="381" ht="15.75" customHeight="1" s="36"/>
    <row r="382" ht="15.75" customHeight="1" s="36"/>
    <row r="383" ht="15.75" customHeight="1" s="36"/>
    <row r="384" ht="15.75" customHeight="1" s="36"/>
    <row r="385" ht="15.75" customHeight="1" s="36"/>
    <row r="386" ht="15.75" customHeight="1" s="36"/>
    <row r="387" ht="15.75" customHeight="1" s="36"/>
    <row r="388" ht="15.75" customHeight="1" s="36"/>
    <row r="389" ht="15.75" customHeight="1" s="36"/>
    <row r="390" ht="15.75" customHeight="1" s="36"/>
    <row r="391" ht="15.75" customHeight="1" s="36"/>
    <row r="392" ht="15.75" customHeight="1" s="36"/>
    <row r="393" ht="15.75" customHeight="1" s="36"/>
    <row r="394" ht="15.75" customHeight="1" s="36"/>
    <row r="395" ht="15.75" customHeight="1" s="36"/>
    <row r="396" ht="15.75" customHeight="1" s="36"/>
    <row r="397" ht="15.75" customHeight="1" s="36"/>
    <row r="398" ht="15.75" customHeight="1" s="36"/>
    <row r="399" ht="15.75" customHeight="1" s="36"/>
    <row r="400" ht="15.75" customHeight="1" s="36"/>
    <row r="401" ht="15.75" customHeight="1" s="36"/>
    <row r="402" ht="15.75" customHeight="1" s="36"/>
    <row r="403" ht="15.75" customHeight="1" s="36"/>
    <row r="404" ht="15.75" customHeight="1" s="36"/>
    <row r="405" ht="15.75" customHeight="1" s="36"/>
    <row r="406" ht="15.75" customHeight="1" s="36"/>
    <row r="407" ht="15.75" customHeight="1" s="36"/>
    <row r="408" ht="15.75" customHeight="1" s="36"/>
    <row r="409" ht="15.75" customHeight="1" s="36"/>
    <row r="410" ht="15.75" customHeight="1" s="36"/>
    <row r="411" ht="15.75" customHeight="1" s="36"/>
    <row r="412" ht="15.75" customHeight="1" s="36"/>
    <row r="413" ht="15.75" customHeight="1" s="36"/>
    <row r="414" ht="15.75" customHeight="1" s="36"/>
    <row r="415" ht="15.75" customHeight="1" s="36"/>
    <row r="416" ht="15.75" customHeight="1" s="36"/>
    <row r="417" ht="15.75" customHeight="1" s="36"/>
    <row r="418" ht="15.75" customHeight="1" s="36"/>
    <row r="419" ht="15.75" customHeight="1" s="36"/>
    <row r="420" ht="15.75" customHeight="1" s="36"/>
    <row r="421" ht="15.75" customHeight="1" s="36"/>
    <row r="422" ht="15.75" customHeight="1" s="36"/>
    <row r="423" ht="15.75" customHeight="1" s="36"/>
    <row r="424" ht="15.75" customHeight="1" s="36"/>
    <row r="425" ht="15.75" customHeight="1" s="36"/>
    <row r="426" ht="15.75" customHeight="1" s="36"/>
    <row r="427" ht="15.75" customHeight="1" s="36"/>
    <row r="428" ht="15.75" customHeight="1" s="36"/>
    <row r="429" ht="15.75" customHeight="1" s="36"/>
    <row r="430" ht="15.75" customHeight="1" s="36"/>
    <row r="431" ht="15.75" customHeight="1" s="36"/>
    <row r="432" ht="15.75" customHeight="1" s="36"/>
    <row r="433" ht="15.75" customHeight="1" s="36"/>
    <row r="434" ht="15.75" customHeight="1" s="36"/>
    <row r="435" ht="15.75" customHeight="1" s="36"/>
    <row r="436" ht="15.75" customHeight="1" s="36"/>
    <row r="437" ht="15.75" customHeight="1" s="36"/>
    <row r="438" ht="15.75" customHeight="1" s="36"/>
    <row r="439" ht="15.75" customHeight="1" s="36"/>
    <row r="440" ht="15.75" customHeight="1" s="36"/>
    <row r="441" ht="15.75" customHeight="1" s="36"/>
    <row r="442" ht="15.75" customHeight="1" s="36"/>
    <row r="443" ht="15.75" customHeight="1" s="36"/>
    <row r="444" ht="15.75" customHeight="1" s="36"/>
    <row r="445" ht="15.75" customHeight="1" s="36"/>
    <row r="446" ht="15.75" customHeight="1" s="36"/>
    <row r="447" ht="15.75" customHeight="1" s="36"/>
    <row r="448" ht="15.75" customHeight="1" s="36"/>
    <row r="449" ht="15.75" customHeight="1" s="36"/>
    <row r="450" ht="15.75" customHeight="1" s="36"/>
    <row r="451" ht="15.75" customHeight="1" s="36"/>
    <row r="452" ht="15.75" customHeight="1" s="36"/>
    <row r="453" ht="15.75" customHeight="1" s="36"/>
    <row r="454" ht="15.75" customHeight="1" s="36"/>
    <row r="455" ht="15.75" customHeight="1" s="36"/>
    <row r="456" ht="15.75" customHeight="1" s="36"/>
    <row r="457" ht="15.75" customHeight="1" s="36"/>
    <row r="458" ht="15.75" customHeight="1" s="36"/>
    <row r="459" ht="15.75" customHeight="1" s="36"/>
    <row r="460" ht="15.75" customHeight="1" s="36"/>
    <row r="461" ht="15.75" customHeight="1" s="36"/>
    <row r="462" ht="15.75" customHeight="1" s="36"/>
    <row r="463" ht="15.75" customHeight="1" s="36"/>
    <row r="464" ht="15.75" customHeight="1" s="36"/>
    <row r="465" ht="15.75" customHeight="1" s="36"/>
    <row r="466" ht="15.75" customHeight="1" s="36"/>
    <row r="467" ht="15.75" customHeight="1" s="36"/>
    <row r="468" ht="15.75" customHeight="1" s="36"/>
    <row r="469" ht="15.75" customHeight="1" s="36"/>
    <row r="470" ht="15.75" customHeight="1" s="36"/>
    <row r="471" ht="15.75" customHeight="1" s="36"/>
    <row r="472" ht="15.75" customHeight="1" s="36"/>
    <row r="473" ht="15.75" customHeight="1" s="36"/>
    <row r="474" ht="15.75" customHeight="1" s="36"/>
    <row r="475" ht="15.75" customHeight="1" s="36"/>
    <row r="476" ht="15.75" customHeight="1" s="36"/>
    <row r="477" ht="15.75" customHeight="1" s="36"/>
    <row r="478" ht="15.75" customHeight="1" s="36"/>
    <row r="479" ht="15.75" customHeight="1" s="36"/>
    <row r="480" ht="15.75" customHeight="1" s="36"/>
    <row r="481" ht="15.75" customHeight="1" s="36"/>
    <row r="482" ht="15.75" customHeight="1" s="36"/>
    <row r="483" ht="15.75" customHeight="1" s="36"/>
    <row r="484" ht="15.75" customHeight="1" s="36"/>
    <row r="485" ht="15.75" customHeight="1" s="36"/>
    <row r="486" ht="15.75" customHeight="1" s="36"/>
    <row r="487" ht="15.75" customHeight="1" s="36"/>
    <row r="488" ht="15.75" customHeight="1" s="36"/>
    <row r="489" ht="15.75" customHeight="1" s="36"/>
    <row r="490" ht="15.75" customHeight="1" s="36"/>
    <row r="491" ht="15.75" customHeight="1" s="36"/>
    <row r="492" ht="15.75" customHeight="1" s="36"/>
    <row r="493" ht="15.75" customHeight="1" s="36"/>
    <row r="494" ht="15.75" customHeight="1" s="36"/>
    <row r="495" ht="15.75" customHeight="1" s="36"/>
    <row r="496" ht="15.75" customHeight="1" s="36"/>
    <row r="497" ht="15.75" customHeight="1" s="36"/>
    <row r="498" ht="15.75" customHeight="1" s="36"/>
    <row r="499" ht="15.75" customHeight="1" s="36"/>
    <row r="500" ht="15.75" customHeight="1" s="36"/>
    <row r="501" ht="15.75" customHeight="1" s="36"/>
    <row r="502" ht="15.75" customHeight="1" s="36"/>
    <row r="503" ht="15.75" customHeight="1" s="36"/>
    <row r="504" ht="15.75" customHeight="1" s="36"/>
    <row r="505" ht="15.75" customHeight="1" s="36"/>
    <row r="506" ht="15.75" customHeight="1" s="36"/>
    <row r="507" ht="15.75" customHeight="1" s="36"/>
    <row r="508" ht="15.75" customHeight="1" s="36"/>
    <row r="509" ht="15.75" customHeight="1" s="36"/>
    <row r="510" ht="15.75" customHeight="1" s="36"/>
    <row r="511" ht="15.75" customHeight="1" s="36"/>
    <row r="512" ht="15.75" customHeight="1" s="36"/>
    <row r="513" ht="15.75" customHeight="1" s="36"/>
    <row r="514" ht="15.75" customHeight="1" s="36"/>
    <row r="515" ht="15.75" customHeight="1" s="36"/>
    <row r="516" ht="15.75" customHeight="1" s="36"/>
    <row r="517" ht="15.75" customHeight="1" s="36"/>
    <row r="518" ht="15.75" customHeight="1" s="36"/>
    <row r="519" ht="15.75" customHeight="1" s="36"/>
    <row r="520" ht="15.75" customHeight="1" s="36"/>
    <row r="521" ht="15.75" customHeight="1" s="36"/>
    <row r="522" ht="15.75" customHeight="1" s="36"/>
    <row r="523" ht="15.75" customHeight="1" s="36"/>
    <row r="524" ht="15.75" customHeight="1" s="36"/>
    <row r="525" ht="15.75" customHeight="1" s="36"/>
    <row r="526" ht="15.75" customHeight="1" s="36"/>
    <row r="527" ht="15.75" customHeight="1" s="36"/>
    <row r="528" ht="15.75" customHeight="1" s="36"/>
    <row r="529" ht="15.75" customHeight="1" s="36"/>
    <row r="530" ht="15.75" customHeight="1" s="36"/>
    <row r="531" ht="15.75" customHeight="1" s="36"/>
    <row r="532" ht="15.75" customHeight="1" s="36"/>
    <row r="533" ht="15.75" customHeight="1" s="36"/>
    <row r="534" ht="15.75" customHeight="1" s="36"/>
    <row r="535" ht="15.75" customHeight="1" s="36"/>
    <row r="536" ht="15.75" customHeight="1" s="36"/>
    <row r="537" ht="15.75" customHeight="1" s="36"/>
    <row r="538" ht="15.75" customHeight="1" s="36"/>
    <row r="539" ht="15.75" customHeight="1" s="36"/>
    <row r="540" ht="15.75" customHeight="1" s="36"/>
    <row r="541" ht="15.75" customHeight="1" s="36"/>
    <row r="542" ht="15.75" customHeight="1" s="36"/>
    <row r="543" ht="15.75" customHeight="1" s="36"/>
    <row r="544" ht="15.75" customHeight="1" s="36"/>
    <row r="545" ht="15.75" customHeight="1" s="36"/>
    <row r="546" ht="15.75" customHeight="1" s="36"/>
    <row r="547" ht="15.75" customHeight="1" s="36"/>
    <row r="548" ht="15.75" customHeight="1" s="36"/>
    <row r="549" ht="15.75" customHeight="1" s="36"/>
    <row r="550" ht="15.75" customHeight="1" s="36"/>
    <row r="551" ht="15.75" customHeight="1" s="36"/>
    <row r="552" ht="15.75" customHeight="1" s="36"/>
    <row r="553" ht="15.75" customHeight="1" s="36"/>
    <row r="554" ht="15.75" customHeight="1" s="36"/>
    <row r="555" ht="15.75" customHeight="1" s="36"/>
    <row r="556" ht="15.75" customHeight="1" s="36"/>
    <row r="557" ht="15.75" customHeight="1" s="36"/>
    <row r="558" ht="15.75" customHeight="1" s="36"/>
    <row r="559" ht="15.75" customHeight="1" s="36"/>
    <row r="560" ht="15.75" customHeight="1" s="36"/>
    <row r="561" ht="15.75" customHeight="1" s="36"/>
    <row r="562" ht="15.75" customHeight="1" s="36"/>
    <row r="563" ht="15.75" customHeight="1" s="36"/>
    <row r="564" ht="15.75" customHeight="1" s="36"/>
    <row r="565" ht="15.75" customHeight="1" s="36"/>
    <row r="566" ht="15.75" customHeight="1" s="36"/>
    <row r="567" ht="15.75" customHeight="1" s="36"/>
    <row r="568" ht="15.75" customHeight="1" s="36"/>
    <row r="569" ht="15.75" customHeight="1" s="36"/>
    <row r="570" ht="15.75" customHeight="1" s="36"/>
    <row r="571" ht="15.75" customHeight="1" s="36"/>
    <row r="572" ht="15.75" customHeight="1" s="36"/>
    <row r="573" ht="15.75" customHeight="1" s="36"/>
    <row r="574" ht="15.75" customHeight="1" s="36"/>
    <row r="575" ht="15.75" customHeight="1" s="36"/>
    <row r="576" ht="15.75" customHeight="1" s="36"/>
    <row r="577" ht="15.75" customHeight="1" s="36"/>
    <row r="578" ht="15.75" customHeight="1" s="36"/>
    <row r="579" ht="15.75" customHeight="1" s="36"/>
    <row r="580" ht="15.75" customHeight="1" s="36"/>
    <row r="581" ht="15.75" customHeight="1" s="36"/>
    <row r="582" ht="15.75" customHeight="1" s="36"/>
    <row r="583" ht="15.75" customHeight="1" s="36"/>
    <row r="584" ht="15.75" customHeight="1" s="36"/>
    <row r="585" ht="15.75" customHeight="1" s="36"/>
    <row r="586" ht="15.75" customHeight="1" s="36"/>
    <row r="587" ht="15.75" customHeight="1" s="36"/>
    <row r="588" ht="15.75" customHeight="1" s="36"/>
    <row r="589" ht="15.75" customHeight="1" s="36"/>
    <row r="590" ht="15.75" customHeight="1" s="36"/>
    <row r="591" ht="15.75" customHeight="1" s="36"/>
    <row r="592" ht="15.75" customHeight="1" s="36"/>
    <row r="593" ht="15.75" customHeight="1" s="36"/>
    <row r="594" ht="15.75" customHeight="1" s="36"/>
    <row r="595" ht="15.75" customHeight="1" s="36"/>
    <row r="596" ht="15.75" customHeight="1" s="36"/>
    <row r="597" ht="15.75" customHeight="1" s="36"/>
    <row r="598" ht="15.75" customHeight="1" s="36"/>
    <row r="599" ht="15.75" customHeight="1" s="36"/>
    <row r="600" ht="15.75" customHeight="1" s="36"/>
    <row r="601" ht="15.75" customHeight="1" s="36"/>
    <row r="602" ht="15.75" customHeight="1" s="36"/>
    <row r="603" ht="15.75" customHeight="1" s="36"/>
    <row r="604" ht="15.75" customHeight="1" s="36"/>
    <row r="605" ht="15.75" customHeight="1" s="36"/>
    <row r="606" ht="15.75" customHeight="1" s="36"/>
    <row r="607" ht="15.75" customHeight="1" s="36"/>
    <row r="608" ht="15.75" customHeight="1" s="36"/>
    <row r="609" ht="15.75" customHeight="1" s="36"/>
    <row r="610" ht="15.75" customHeight="1" s="36"/>
    <row r="611" ht="15.75" customHeight="1" s="36"/>
    <row r="612" ht="15.75" customHeight="1" s="36"/>
    <row r="613" ht="15.75" customHeight="1" s="36"/>
    <row r="614" ht="15.75" customHeight="1" s="36"/>
    <row r="615" ht="15.75" customHeight="1" s="36"/>
    <row r="616" ht="15.75" customHeight="1" s="36"/>
    <row r="617" ht="15.75" customHeight="1" s="36"/>
    <row r="618" ht="15.75" customHeight="1" s="36"/>
    <row r="619" ht="15.75" customHeight="1" s="36"/>
    <row r="620" ht="15.75" customHeight="1" s="36"/>
    <row r="621" ht="15.75" customHeight="1" s="36"/>
    <row r="622" ht="15.75" customHeight="1" s="36"/>
    <row r="623" ht="15.75" customHeight="1" s="36"/>
    <row r="624" ht="15.75" customHeight="1" s="36"/>
    <row r="625" ht="15.75" customHeight="1" s="36"/>
    <row r="626" ht="15.75" customHeight="1" s="36"/>
    <row r="627" ht="15.75" customHeight="1" s="36"/>
    <row r="628" ht="15.75" customHeight="1" s="36"/>
    <row r="629" ht="15.75" customHeight="1" s="36"/>
    <row r="630" ht="15.75" customHeight="1" s="36"/>
    <row r="631" ht="15.75" customHeight="1" s="36"/>
    <row r="632" ht="15.75" customHeight="1" s="36"/>
    <row r="633" ht="15.75" customHeight="1" s="36"/>
    <row r="634" ht="15.75" customHeight="1" s="36"/>
    <row r="635" ht="15.75" customHeight="1" s="36"/>
    <row r="636" ht="15.75" customHeight="1" s="36"/>
    <row r="637" ht="15.75" customHeight="1" s="36"/>
    <row r="638" ht="15.75" customHeight="1" s="36"/>
    <row r="639" ht="15.75" customHeight="1" s="36"/>
    <row r="640" ht="15.75" customHeight="1" s="36"/>
    <row r="641" ht="15.75" customHeight="1" s="36"/>
    <row r="642" ht="15.75" customHeight="1" s="36"/>
    <row r="643" ht="15.75" customHeight="1" s="36"/>
    <row r="644" ht="15.75" customHeight="1" s="36"/>
    <row r="645" ht="15.75" customHeight="1" s="36"/>
    <row r="646" ht="15.75" customHeight="1" s="36"/>
    <row r="647" ht="15.75" customHeight="1" s="36"/>
    <row r="648" ht="15.75" customHeight="1" s="36"/>
    <row r="649" ht="15.75" customHeight="1" s="36"/>
    <row r="650" ht="15.75" customHeight="1" s="36"/>
    <row r="651" ht="15.75" customHeight="1" s="36"/>
    <row r="652" ht="15.75" customHeight="1" s="36"/>
    <row r="653" ht="15.75" customHeight="1" s="36"/>
    <row r="654" ht="15.75" customHeight="1" s="36"/>
    <row r="655" ht="15.75" customHeight="1" s="36"/>
    <row r="656" ht="15.75" customHeight="1" s="36"/>
    <row r="657" ht="15.75" customHeight="1" s="36"/>
    <row r="658" ht="15.75" customHeight="1" s="36"/>
    <row r="659" ht="15.75" customHeight="1" s="36"/>
    <row r="660" ht="15.75" customHeight="1" s="36"/>
    <row r="661" ht="15.75" customHeight="1" s="36"/>
    <row r="662" ht="15.75" customHeight="1" s="36"/>
    <row r="663" ht="15.75" customHeight="1" s="36"/>
    <row r="664" ht="15.75" customHeight="1" s="36"/>
    <row r="665" ht="15.75" customHeight="1" s="36"/>
    <row r="666" ht="15.75" customHeight="1" s="36"/>
    <row r="667" ht="15.75" customHeight="1" s="36"/>
    <row r="668" ht="15.75" customHeight="1" s="36"/>
    <row r="669" ht="15.75" customHeight="1" s="36"/>
    <row r="670" ht="15.75" customHeight="1" s="36"/>
    <row r="671" ht="15.75" customHeight="1" s="36"/>
    <row r="672" ht="15.75" customHeight="1" s="36"/>
    <row r="673" ht="15.75" customHeight="1" s="36"/>
    <row r="674" ht="15.75" customHeight="1" s="36"/>
    <row r="675" ht="15.75" customHeight="1" s="36"/>
    <row r="676" ht="15.75" customHeight="1" s="36"/>
    <row r="677" ht="15.75" customHeight="1" s="36"/>
    <row r="678" ht="15.75" customHeight="1" s="36"/>
    <row r="679" ht="15.75" customHeight="1" s="36"/>
    <row r="680" ht="15.75" customHeight="1" s="36"/>
    <row r="681" ht="15.75" customHeight="1" s="36"/>
    <row r="682" ht="15.75" customHeight="1" s="36"/>
    <row r="683" ht="15.75" customHeight="1" s="36"/>
    <row r="684" ht="15.75" customHeight="1" s="36"/>
    <row r="685" ht="15.75" customHeight="1" s="36"/>
    <row r="686" ht="15.75" customHeight="1" s="36"/>
    <row r="687" ht="15.75" customHeight="1" s="36"/>
    <row r="688" ht="15.75" customHeight="1" s="36"/>
    <row r="689" ht="15.75" customHeight="1" s="36"/>
    <row r="690" ht="15.75" customHeight="1" s="36"/>
    <row r="691" ht="15.75" customHeight="1" s="36"/>
    <row r="692" ht="15.75" customHeight="1" s="36"/>
    <row r="693" ht="15.75" customHeight="1" s="36"/>
    <row r="694" ht="15.75" customHeight="1" s="36"/>
    <row r="695" ht="15.75" customHeight="1" s="36"/>
    <row r="696" ht="15.75" customHeight="1" s="36"/>
    <row r="697" ht="15.75" customHeight="1" s="36"/>
    <row r="698" ht="15.75" customHeight="1" s="36"/>
    <row r="699" ht="15.75" customHeight="1" s="36"/>
    <row r="700" ht="15.75" customHeight="1" s="36"/>
    <row r="701" ht="15.75" customHeight="1" s="36"/>
    <row r="702" ht="15.75" customHeight="1" s="36"/>
    <row r="703" ht="15.75" customHeight="1" s="36"/>
    <row r="704" ht="15.75" customHeight="1" s="36"/>
    <row r="705" ht="15.75" customHeight="1" s="36"/>
    <row r="706" ht="15.75" customHeight="1" s="36"/>
    <row r="707" ht="15.75" customHeight="1" s="36"/>
    <row r="708" ht="15.75" customHeight="1" s="36"/>
    <row r="709" ht="15.75" customHeight="1" s="36"/>
    <row r="710" ht="15.75" customHeight="1" s="36"/>
    <row r="711" ht="15.75" customHeight="1" s="36"/>
    <row r="712" ht="15.75" customHeight="1" s="36"/>
    <row r="713" ht="15.75" customHeight="1" s="36"/>
    <row r="714" ht="15.75" customHeight="1" s="36"/>
    <row r="715" ht="15.75" customHeight="1" s="36"/>
    <row r="716" ht="15.75" customHeight="1" s="36"/>
    <row r="717" ht="15.75" customHeight="1" s="36"/>
    <row r="718" ht="15.75" customHeight="1" s="36"/>
    <row r="719" ht="15.75" customHeight="1" s="36"/>
    <row r="720" ht="15.75" customHeight="1" s="36"/>
    <row r="721" ht="15.75" customHeight="1" s="36"/>
    <row r="722" ht="15.75" customHeight="1" s="36"/>
    <row r="723" ht="15.75" customHeight="1" s="36"/>
    <row r="724" ht="15.75" customHeight="1" s="36"/>
    <row r="725" ht="15.75" customHeight="1" s="36"/>
    <row r="726" ht="15.75" customHeight="1" s="36"/>
    <row r="727" ht="15.75" customHeight="1" s="36"/>
    <row r="728" ht="15.75" customHeight="1" s="36"/>
    <row r="729" ht="15.75" customHeight="1" s="36"/>
    <row r="730" ht="15.75" customHeight="1" s="36"/>
    <row r="731" ht="15.75" customHeight="1" s="36"/>
    <row r="732" ht="15.75" customHeight="1" s="36"/>
    <row r="733" ht="15.75" customHeight="1" s="36"/>
    <row r="734" ht="15.75" customHeight="1" s="36"/>
    <row r="735" ht="15.75" customHeight="1" s="36"/>
    <row r="736" ht="15.75" customHeight="1" s="36"/>
    <row r="737" ht="15.75" customHeight="1" s="36"/>
    <row r="738" ht="15.75" customHeight="1" s="36"/>
    <row r="739" ht="15.75" customHeight="1" s="36"/>
    <row r="740" ht="15.75" customHeight="1" s="36"/>
    <row r="741" ht="15.75" customHeight="1" s="36"/>
    <row r="742" ht="15.75" customHeight="1" s="36"/>
    <row r="743" ht="15.75" customHeight="1" s="36"/>
    <row r="744" ht="15.75" customHeight="1" s="36"/>
    <row r="745" ht="15.75" customHeight="1" s="36"/>
    <row r="746" ht="15.75" customHeight="1" s="36"/>
    <row r="747" ht="15.75" customHeight="1" s="36"/>
    <row r="748" ht="15.75" customHeight="1" s="36"/>
    <row r="749" ht="15.75" customHeight="1" s="36"/>
    <row r="750" ht="15.75" customHeight="1" s="36"/>
    <row r="751" ht="15.75" customHeight="1" s="36"/>
    <row r="752" ht="15.75" customHeight="1" s="36"/>
    <row r="753" ht="15.75" customHeight="1" s="36"/>
    <row r="754" ht="15.75" customHeight="1" s="36"/>
    <row r="755" ht="15.75" customHeight="1" s="36"/>
    <row r="756" ht="15.75" customHeight="1" s="36"/>
    <row r="757" ht="15.75" customHeight="1" s="36"/>
    <row r="758" ht="15.75" customHeight="1" s="36"/>
    <row r="759" ht="15.75" customHeight="1" s="36"/>
    <row r="760" ht="15.75" customHeight="1" s="36"/>
    <row r="761" ht="15.75" customHeight="1" s="36"/>
    <row r="762" ht="15.75" customHeight="1" s="36"/>
    <row r="763" ht="15.75" customHeight="1" s="36"/>
    <row r="764" ht="15.75" customHeight="1" s="36"/>
    <row r="765" ht="15.75" customHeight="1" s="36"/>
    <row r="766" ht="15.75" customHeight="1" s="36"/>
    <row r="767" ht="15.75" customHeight="1" s="36"/>
    <row r="768" ht="15.75" customHeight="1" s="36"/>
    <row r="769" ht="15.75" customHeight="1" s="36"/>
    <row r="770" ht="15.75" customHeight="1" s="36"/>
    <row r="771" ht="15.75" customHeight="1" s="36"/>
    <row r="772" ht="15.75" customHeight="1" s="36"/>
    <row r="773" ht="15.75" customHeight="1" s="36"/>
    <row r="774" ht="15.75" customHeight="1" s="36"/>
    <row r="775" ht="15.75" customHeight="1" s="36"/>
    <row r="776" ht="15.75" customHeight="1" s="36"/>
    <row r="777" ht="15.75" customHeight="1" s="36"/>
    <row r="778" ht="15.75" customHeight="1" s="36"/>
    <row r="779" ht="15.75" customHeight="1" s="36"/>
    <row r="780" ht="15.75" customHeight="1" s="36"/>
    <row r="781" ht="15.75" customHeight="1" s="36"/>
    <row r="782" ht="15.75" customHeight="1" s="36"/>
    <row r="783" ht="15.75" customHeight="1" s="36"/>
    <row r="784" ht="15.75" customHeight="1" s="36"/>
    <row r="785" ht="15.75" customHeight="1" s="36"/>
    <row r="786" ht="15.75" customHeight="1" s="36"/>
    <row r="787" ht="15.75" customHeight="1" s="36"/>
    <row r="788" ht="15.75" customHeight="1" s="36"/>
    <row r="789" ht="15.75" customHeight="1" s="36"/>
    <row r="790" ht="15.75" customHeight="1" s="36"/>
    <row r="791" ht="15.75" customHeight="1" s="36"/>
    <row r="792" ht="15.75" customHeight="1" s="36"/>
    <row r="793" ht="15.75" customHeight="1" s="36"/>
    <row r="794" ht="15.75" customHeight="1" s="36"/>
    <row r="795" ht="15.75" customHeight="1" s="36"/>
    <row r="796" ht="15.75" customHeight="1" s="36"/>
    <row r="797" ht="15.75" customHeight="1" s="36"/>
    <row r="798" ht="15.75" customHeight="1" s="36"/>
    <row r="799" ht="15.75" customHeight="1" s="36"/>
    <row r="800" ht="15.75" customHeight="1" s="36"/>
    <row r="801" ht="15.75" customHeight="1" s="36"/>
    <row r="802" ht="15.75" customHeight="1" s="36"/>
    <row r="803" ht="15.75" customHeight="1" s="36"/>
    <row r="804" ht="15.75" customHeight="1" s="36"/>
    <row r="805" ht="15.75" customHeight="1" s="36"/>
    <row r="806" ht="15.75" customHeight="1" s="36"/>
    <row r="807" ht="15.75" customHeight="1" s="36"/>
    <row r="808" ht="15.75" customHeight="1" s="36"/>
    <row r="809" ht="15.75" customHeight="1" s="36"/>
    <row r="810" ht="15.75" customHeight="1" s="36"/>
    <row r="811" ht="15.75" customHeight="1" s="36"/>
    <row r="812" ht="15.75" customHeight="1" s="36"/>
    <row r="813" ht="15.75" customHeight="1" s="36"/>
    <row r="814" ht="15.75" customHeight="1" s="36"/>
    <row r="815" ht="15.75" customHeight="1" s="36"/>
    <row r="816" ht="15.75" customHeight="1" s="36"/>
    <row r="817" ht="15.75" customHeight="1" s="36"/>
    <row r="818" ht="15.75" customHeight="1" s="36"/>
    <row r="819" ht="15.75" customHeight="1" s="36"/>
    <row r="820" ht="15.75" customHeight="1" s="36"/>
    <row r="821" ht="15.75" customHeight="1" s="36"/>
    <row r="822" ht="15.75" customHeight="1" s="36"/>
    <row r="823" ht="15.75" customHeight="1" s="36"/>
    <row r="824" ht="15.75" customHeight="1" s="36"/>
    <row r="825" ht="15.75" customHeight="1" s="36"/>
    <row r="826" ht="15.75" customHeight="1" s="36"/>
    <row r="827" ht="15.75" customHeight="1" s="36"/>
    <row r="828" ht="15.75" customHeight="1" s="36"/>
    <row r="829" ht="15.75" customHeight="1" s="36"/>
    <row r="830" ht="15.75" customHeight="1" s="36"/>
    <row r="831" ht="15.75" customHeight="1" s="36"/>
    <row r="832" ht="15.75" customHeight="1" s="36"/>
    <row r="833" ht="15.75" customHeight="1" s="36"/>
    <row r="834" ht="15.75" customHeight="1" s="36"/>
    <row r="835" ht="15.75" customHeight="1" s="36"/>
    <row r="836" ht="15.75" customHeight="1" s="36"/>
    <row r="837" ht="15.75" customHeight="1" s="36"/>
    <row r="838" ht="15.75" customHeight="1" s="36"/>
    <row r="839" ht="15.75" customHeight="1" s="36"/>
    <row r="840" ht="15.75" customHeight="1" s="36"/>
    <row r="841" ht="15.75" customHeight="1" s="36"/>
    <row r="842" ht="15.75" customHeight="1" s="36"/>
    <row r="843" ht="15.75" customHeight="1" s="36"/>
    <row r="844" ht="15.75" customHeight="1" s="36"/>
    <row r="845" ht="15.75" customHeight="1" s="36"/>
    <row r="846" ht="15.75" customHeight="1" s="36"/>
    <row r="847" ht="15.75" customHeight="1" s="36"/>
    <row r="848" ht="15.75" customHeight="1" s="36"/>
    <row r="849" ht="15.75" customHeight="1" s="36"/>
    <row r="850" ht="15.75" customHeight="1" s="36"/>
    <row r="851" ht="15.75" customHeight="1" s="36"/>
    <row r="852" ht="15.75" customHeight="1" s="36"/>
    <row r="853" ht="15.75" customHeight="1" s="36"/>
    <row r="854" ht="15.75" customHeight="1" s="36"/>
    <row r="855" ht="15.75" customHeight="1" s="36"/>
    <row r="856" ht="15.75" customHeight="1" s="36"/>
    <row r="857" ht="15.75" customHeight="1" s="36"/>
    <row r="858" ht="15.75" customHeight="1" s="36"/>
    <row r="859" ht="15.75" customHeight="1" s="36"/>
    <row r="860" ht="15.75" customHeight="1" s="36"/>
    <row r="861" ht="15.75" customHeight="1" s="36"/>
    <row r="862" ht="15.75" customHeight="1" s="36"/>
    <row r="863" ht="15.75" customHeight="1" s="36"/>
    <row r="864" ht="15.75" customHeight="1" s="36"/>
    <row r="865" ht="15.75" customHeight="1" s="36"/>
    <row r="866" ht="15.75" customHeight="1" s="36"/>
    <row r="867" ht="15.75" customHeight="1" s="36"/>
    <row r="868" ht="15.75" customHeight="1" s="36"/>
    <row r="869" ht="15.75" customHeight="1" s="36"/>
    <row r="870" ht="15.75" customHeight="1" s="36"/>
    <row r="871" ht="15.75" customHeight="1" s="36"/>
    <row r="872" ht="15.75" customHeight="1" s="36"/>
    <row r="873" ht="15.75" customHeight="1" s="36"/>
    <row r="874" ht="15.75" customHeight="1" s="36"/>
    <row r="875" ht="15.75" customHeight="1" s="36"/>
    <row r="876" ht="15.75" customHeight="1" s="36"/>
    <row r="877" ht="15.75" customHeight="1" s="36"/>
    <row r="878" ht="15.75" customHeight="1" s="36"/>
    <row r="879" ht="15.75" customHeight="1" s="36"/>
    <row r="880" ht="15.75" customHeight="1" s="36"/>
    <row r="881" ht="15.75" customHeight="1" s="36"/>
    <row r="882" ht="15.75" customHeight="1" s="36"/>
    <row r="883" ht="15.75" customHeight="1" s="36"/>
    <row r="884" ht="15.75" customHeight="1" s="36"/>
    <row r="885" ht="15.75" customHeight="1" s="36"/>
    <row r="886" ht="15.75" customHeight="1" s="36"/>
    <row r="887" ht="15.75" customHeight="1" s="36"/>
    <row r="888" ht="15.75" customHeight="1" s="36"/>
    <row r="889" ht="15.75" customHeight="1" s="36"/>
    <row r="890" ht="15.75" customHeight="1" s="36"/>
    <row r="891" ht="15.75" customHeight="1" s="36"/>
    <row r="892" ht="15.75" customHeight="1" s="36"/>
    <row r="893" ht="15.75" customHeight="1" s="36"/>
    <row r="894" ht="15.75" customHeight="1" s="36"/>
    <row r="895" ht="15.75" customHeight="1" s="36"/>
    <row r="896" ht="15.75" customHeight="1" s="36"/>
    <row r="897" ht="15.75" customHeight="1" s="36"/>
    <row r="898" ht="15.75" customHeight="1" s="36"/>
    <row r="899" ht="15.75" customHeight="1" s="36"/>
    <row r="900" ht="15.75" customHeight="1" s="36"/>
    <row r="901" ht="15.75" customHeight="1" s="36"/>
    <row r="902" ht="15.75" customHeight="1" s="36"/>
    <row r="903" ht="15.75" customHeight="1" s="36"/>
    <row r="904" ht="15.75" customHeight="1" s="36"/>
    <row r="905" ht="15.75" customHeight="1" s="36"/>
    <row r="906" ht="15.75" customHeight="1" s="36"/>
    <row r="907" ht="15.75" customHeight="1" s="36"/>
    <row r="908" ht="15.75" customHeight="1" s="36"/>
    <row r="909" ht="15.75" customHeight="1" s="36"/>
    <row r="910" ht="15.75" customHeight="1" s="36"/>
    <row r="911" ht="15.75" customHeight="1" s="36"/>
    <row r="912" ht="15.75" customHeight="1" s="36"/>
    <row r="913" ht="15.75" customHeight="1" s="36"/>
    <row r="914" ht="15.75" customHeight="1" s="36"/>
    <row r="915" ht="15.75" customHeight="1" s="36"/>
    <row r="916" ht="15.75" customHeight="1" s="36"/>
    <row r="917" ht="15.75" customHeight="1" s="36"/>
    <row r="918" ht="15.75" customHeight="1" s="36"/>
    <row r="919" ht="15.75" customHeight="1" s="36"/>
    <row r="920" ht="15.75" customHeight="1" s="36"/>
    <row r="921" ht="15.75" customHeight="1" s="36"/>
    <row r="922" ht="15.75" customHeight="1" s="36"/>
    <row r="923" ht="15.75" customHeight="1" s="36"/>
    <row r="924" ht="15.75" customHeight="1" s="36"/>
    <row r="925" ht="15.75" customHeight="1" s="36"/>
    <row r="926" ht="15.75" customHeight="1" s="36"/>
    <row r="927" ht="15.75" customHeight="1" s="36"/>
    <row r="928" ht="15.75" customHeight="1" s="36"/>
    <row r="929" ht="15.75" customHeight="1" s="36"/>
    <row r="930" ht="15.75" customHeight="1" s="36"/>
    <row r="931" ht="15.75" customHeight="1" s="36"/>
    <row r="932" ht="15.75" customHeight="1" s="36"/>
    <row r="933" ht="15.75" customHeight="1" s="36"/>
    <row r="934" ht="15.75" customHeight="1" s="36"/>
    <row r="935" ht="15.75" customHeight="1" s="36"/>
    <row r="936" ht="15.75" customHeight="1" s="36"/>
    <row r="937" ht="15.75" customHeight="1" s="36"/>
    <row r="938" ht="15.75" customHeight="1" s="36"/>
    <row r="939" ht="15.75" customHeight="1" s="36"/>
    <row r="940" ht="15.75" customHeight="1" s="36"/>
    <row r="941" ht="15.75" customHeight="1" s="36"/>
    <row r="942" ht="15.75" customHeight="1" s="36"/>
    <row r="943" ht="15.75" customHeight="1" s="36"/>
    <row r="944" ht="15.75" customHeight="1" s="36"/>
    <row r="945" ht="15.75" customHeight="1" s="36"/>
    <row r="946" ht="15.75" customHeight="1" s="36"/>
    <row r="947" ht="15.75" customHeight="1" s="36"/>
    <row r="948" ht="15.75" customHeight="1" s="36"/>
    <row r="949" ht="15.75" customHeight="1" s="36"/>
    <row r="950" ht="15.75" customHeight="1" s="36"/>
    <row r="951" ht="15.75" customHeight="1" s="36"/>
    <row r="952" ht="15.75" customHeight="1" s="36"/>
    <row r="953" ht="15.75" customHeight="1" s="36"/>
    <row r="954" ht="15.75" customHeight="1" s="36"/>
    <row r="955" ht="15.75" customHeight="1" s="36"/>
    <row r="956" ht="15.75" customHeight="1" s="36"/>
    <row r="957" ht="15.75" customHeight="1" s="36"/>
    <row r="958" ht="15.75" customHeight="1" s="36"/>
    <row r="959" ht="15.75" customHeight="1" s="36"/>
    <row r="960" ht="15.75" customHeight="1" s="36"/>
    <row r="961" ht="15.75" customHeight="1" s="36"/>
    <row r="962" ht="15.75" customHeight="1" s="36"/>
    <row r="963" ht="15.75" customHeight="1" s="36"/>
    <row r="964" ht="15.75" customHeight="1" s="36"/>
    <row r="965" ht="15.75" customHeight="1" s="36"/>
    <row r="966" ht="15.75" customHeight="1" s="36"/>
    <row r="967" ht="15.75" customHeight="1" s="36"/>
    <row r="968" ht="15.75" customHeight="1" s="36"/>
    <row r="969" ht="15.75" customHeight="1" s="36"/>
    <row r="970" ht="15.75" customHeight="1" s="36"/>
    <row r="971" ht="15.75" customHeight="1" s="36"/>
    <row r="972" ht="15.75" customHeight="1" s="36"/>
    <row r="973" ht="15.75" customHeight="1" s="36"/>
    <row r="974" ht="15.75" customHeight="1" s="36"/>
    <row r="975" ht="15.75" customHeight="1" s="36"/>
    <row r="976" ht="15.75" customHeight="1" s="36"/>
    <row r="977" ht="15.75" customHeight="1" s="36"/>
    <row r="978" ht="15.75" customHeight="1" s="36"/>
    <row r="979" ht="15.75" customHeight="1" s="36"/>
    <row r="980" ht="15.75" customHeight="1" s="36"/>
    <row r="981" ht="15.75" customHeight="1" s="36"/>
    <row r="982" ht="15.75" customHeight="1" s="36"/>
    <row r="983" ht="15.75" customHeight="1" s="36"/>
    <row r="984" ht="15.75" customHeight="1" s="36"/>
    <row r="985" ht="15.75" customHeight="1" s="36"/>
    <row r="986" ht="15.75" customHeight="1" s="36"/>
    <row r="987" ht="15.75" customHeight="1" s="36"/>
    <row r="988" ht="15.75" customHeight="1" s="36"/>
    <row r="989" ht="15.75" customHeight="1" s="36"/>
    <row r="990" ht="15.75" customHeight="1" s="36"/>
    <row r="991" ht="15.75" customHeight="1" s="36"/>
    <row r="992" ht="15.75" customHeight="1" s="36"/>
    <row r="993" ht="15.75" customHeight="1" s="36"/>
    <row r="994" ht="15.75" customHeight="1" s="36"/>
    <row r="995" ht="15.75" customHeight="1" s="36"/>
    <row r="996" ht="15.75" customHeight="1" s="36"/>
    <row r="997" ht="15.75" customHeight="1" s="36"/>
    <row r="998" ht="15.75" customHeight="1" s="36"/>
    <row r="999" ht="15.75" customHeight="1" s="36"/>
    <row r="1000" ht="15.75" customHeight="1" s="36"/>
  </sheetData>
  <mergeCells count="233">
    <mergeCell ref="K199:K205"/>
    <mergeCell ref="A115:A126"/>
    <mergeCell ref="H180:H192"/>
    <mergeCell ref="K215:K222"/>
    <mergeCell ref="H88:H96"/>
    <mergeCell ref="K127:K132"/>
    <mergeCell ref="H145:H167"/>
    <mergeCell ref="B237:B244"/>
    <mergeCell ref="B88:B96"/>
    <mergeCell ref="J145:J167"/>
    <mergeCell ref="E180:E192"/>
    <mergeCell ref="H223:H226"/>
    <mergeCell ref="E115:E126"/>
    <mergeCell ref="L62:L87"/>
    <mergeCell ref="L180:L192"/>
    <mergeCell ref="G115:G126"/>
    <mergeCell ref="L145:L167"/>
    <mergeCell ref="E215:E222"/>
    <mergeCell ref="K180:K192"/>
    <mergeCell ref="J173:J179"/>
    <mergeCell ref="B173:B179"/>
    <mergeCell ref="L173:L179"/>
    <mergeCell ref="B110:B114"/>
    <mergeCell ref="A5:A15"/>
    <mergeCell ref="I227:I236"/>
    <mergeCell ref="C33:C61"/>
    <mergeCell ref="F168:F172"/>
    <mergeCell ref="E33:E61"/>
    <mergeCell ref="H168:H172"/>
    <mergeCell ref="K97:K109"/>
    <mergeCell ref="K62:K87"/>
    <mergeCell ref="K88:K96"/>
    <mergeCell ref="E88:E96"/>
    <mergeCell ref="E133:E144"/>
    <mergeCell ref="G199:G205"/>
    <mergeCell ref="J133:J144"/>
    <mergeCell ref="F5:F15"/>
    <mergeCell ref="J115:J126"/>
    <mergeCell ref="B133:B144"/>
    <mergeCell ref="L115:L126"/>
    <mergeCell ref="E223:E226"/>
    <mergeCell ref="B223:B226"/>
    <mergeCell ref="L5:L15"/>
    <mergeCell ref="K223:K226"/>
    <mergeCell ref="G110:G114"/>
    <mergeCell ref="E168:E172"/>
    <mergeCell ref="I110:I114"/>
    <mergeCell ref="G168:G172"/>
    <mergeCell ref="A206:A214"/>
    <mergeCell ref="I168:I172"/>
    <mergeCell ref="H33:H61"/>
    <mergeCell ref="A193:A198"/>
    <mergeCell ref="K168:K172"/>
    <mergeCell ref="C193:C198"/>
    <mergeCell ref="K237:K244"/>
    <mergeCell ref="J199:J205"/>
    <mergeCell ref="L199:L205"/>
    <mergeCell ref="L215:L222"/>
    <mergeCell ref="G133:G144"/>
    <mergeCell ref="J223:J226"/>
    <mergeCell ref="A88:A96"/>
    <mergeCell ref="F115:F126"/>
    <mergeCell ref="C62:C87"/>
    <mergeCell ref="H115:H126"/>
    <mergeCell ref="E62:E87"/>
    <mergeCell ref="K145:K167"/>
    <mergeCell ref="B193:B198"/>
    <mergeCell ref="J180:J192"/>
    <mergeCell ref="F237:F244"/>
    <mergeCell ref="C173:C179"/>
    <mergeCell ref="C110:C114"/>
    <mergeCell ref="A1:K1"/>
    <mergeCell ref="E110:E114"/>
    <mergeCell ref="F193:F198"/>
    <mergeCell ref="H193:H198"/>
    <mergeCell ref="B215:B222"/>
    <mergeCell ref="B33:B61"/>
    <mergeCell ref="J33:J61"/>
    <mergeCell ref="F88:F96"/>
    <mergeCell ref="I115:I126"/>
    <mergeCell ref="A133:A144"/>
    <mergeCell ref="K115:K126"/>
    <mergeCell ref="C133:C144"/>
    <mergeCell ref="J88:J96"/>
    <mergeCell ref="G215:G222"/>
    <mergeCell ref="A215:A222"/>
    <mergeCell ref="K5:K15"/>
    <mergeCell ref="C5:C15"/>
    <mergeCell ref="B97:B109"/>
    <mergeCell ref="E5:E15"/>
    <mergeCell ref="F110:F114"/>
    <mergeCell ref="H110:H114"/>
    <mergeCell ref="K193:K198"/>
    <mergeCell ref="B62:B87"/>
    <mergeCell ref="E127:E132"/>
    <mergeCell ref="G33:G61"/>
    <mergeCell ref="J168:J172"/>
    <mergeCell ref="I33:I61"/>
    <mergeCell ref="L168:L172"/>
    <mergeCell ref="I16:I32"/>
    <mergeCell ref="G88:G96"/>
    <mergeCell ref="A16:A32"/>
    <mergeCell ref="C16:C32"/>
    <mergeCell ref="I133:I144"/>
    <mergeCell ref="F133:F144"/>
    <mergeCell ref="A97:A109"/>
    <mergeCell ref="H133:H144"/>
    <mergeCell ref="A227:A236"/>
    <mergeCell ref="C227:C236"/>
    <mergeCell ref="E97:E109"/>
    <mergeCell ref="H5:H15"/>
    <mergeCell ref="L133:L144"/>
    <mergeCell ref="K110:K114"/>
    <mergeCell ref="J5:J15"/>
    <mergeCell ref="F206:F214"/>
    <mergeCell ref="C237:C244"/>
    <mergeCell ref="E237:E244"/>
    <mergeCell ref="B199:B205"/>
    <mergeCell ref="C206:C214"/>
    <mergeCell ref="E206:E214"/>
    <mergeCell ref="E193:E198"/>
    <mergeCell ref="L33:L61"/>
    <mergeCell ref="G193:G198"/>
    <mergeCell ref="I193:I198"/>
    <mergeCell ref="A127:A132"/>
    <mergeCell ref="I206:I214"/>
    <mergeCell ref="L16:L32"/>
    <mergeCell ref="B180:B192"/>
    <mergeCell ref="I173:I179"/>
    <mergeCell ref="F97:F109"/>
    <mergeCell ref="F227:F236"/>
    <mergeCell ref="H227:H236"/>
    <mergeCell ref="H237:H244"/>
    <mergeCell ref="J237:J244"/>
    <mergeCell ref="A2:K2"/>
    <mergeCell ref="H206:H214"/>
    <mergeCell ref="J193:J198"/>
    <mergeCell ref="A62:A87"/>
    <mergeCell ref="B127:B132"/>
    <mergeCell ref="L193:L198"/>
    <mergeCell ref="F215:F222"/>
    <mergeCell ref="A145:A167"/>
    <mergeCell ref="G223:G226"/>
    <mergeCell ref="B16:B32"/>
    <mergeCell ref="F33:F61"/>
    <mergeCell ref="E173:E179"/>
    <mergeCell ref="K227:K236"/>
    <mergeCell ref="L88:L96"/>
    <mergeCell ref="F16:F32"/>
    <mergeCell ref="B227:B236"/>
    <mergeCell ref="C215:C222"/>
    <mergeCell ref="G5:G15"/>
    <mergeCell ref="J110:J114"/>
    <mergeCell ref="I5:I15"/>
    <mergeCell ref="L110:L114"/>
    <mergeCell ref="I199:I205"/>
    <mergeCell ref="B145:B167"/>
    <mergeCell ref="F62:F87"/>
    <mergeCell ref="G127:G132"/>
    <mergeCell ref="B206:B214"/>
    <mergeCell ref="I215:I222"/>
    <mergeCell ref="I127:I132"/>
    <mergeCell ref="F145:F167"/>
    <mergeCell ref="A180:A192"/>
    <mergeCell ref="L223:L226"/>
    <mergeCell ref="K206:K214"/>
    <mergeCell ref="K33:K61"/>
    <mergeCell ref="H62:H87"/>
    <mergeCell ref="C115:C126"/>
    <mergeCell ref="J62:J87"/>
    <mergeCell ref="F173:F179"/>
    <mergeCell ref="E16:E32"/>
    <mergeCell ref="H173:H179"/>
    <mergeCell ref="G16:G32"/>
    <mergeCell ref="C97:C109"/>
    <mergeCell ref="E227:E236"/>
    <mergeCell ref="K16:K32"/>
    <mergeCell ref="G227:G236"/>
    <mergeCell ref="B168:B172"/>
    <mergeCell ref="A33:A61"/>
    <mergeCell ref="G97:G109"/>
    <mergeCell ref="I97:I109"/>
    <mergeCell ref="G62:G87"/>
    <mergeCell ref="G237:G244"/>
    <mergeCell ref="I237:I244"/>
    <mergeCell ref="I88:I96"/>
    <mergeCell ref="L127:L132"/>
    <mergeCell ref="G206:G214"/>
    <mergeCell ref="A237:A244"/>
    <mergeCell ref="A199:A205"/>
    <mergeCell ref="C199:C205"/>
    <mergeCell ref="B5:B15"/>
    <mergeCell ref="E199:E205"/>
    <mergeCell ref="A223:A226"/>
    <mergeCell ref="C127:C132"/>
    <mergeCell ref="K173:K179"/>
    <mergeCell ref="A168:A172"/>
    <mergeCell ref="H97:H109"/>
    <mergeCell ref="J97:J109"/>
    <mergeCell ref="J227:J236"/>
    <mergeCell ref="L227:L236"/>
    <mergeCell ref="L97:L109"/>
    <mergeCell ref="L237:L244"/>
    <mergeCell ref="J206:J214"/>
    <mergeCell ref="L206:L214"/>
    <mergeCell ref="F199:F205"/>
    <mergeCell ref="H199:H205"/>
    <mergeCell ref="C180:C192"/>
    <mergeCell ref="K133:K144"/>
    <mergeCell ref="H215:H222"/>
    <mergeCell ref="F127:F132"/>
    <mergeCell ref="C145:C167"/>
    <mergeCell ref="J215:J222"/>
    <mergeCell ref="H127:H132"/>
    <mergeCell ref="E145:E167"/>
    <mergeCell ref="F223:F226"/>
    <mergeCell ref="J127:J132"/>
    <mergeCell ref="I223:I226"/>
    <mergeCell ref="C223:C226"/>
    <mergeCell ref="G180:G192"/>
    <mergeCell ref="B115:B126"/>
    <mergeCell ref="I62:I87"/>
    <mergeCell ref="I180:I192"/>
    <mergeCell ref="G145:G167"/>
    <mergeCell ref="I145:I167"/>
    <mergeCell ref="F180:F192"/>
    <mergeCell ref="G173:G179"/>
    <mergeCell ref="A173:A179"/>
    <mergeCell ref="A110:A114"/>
    <mergeCell ref="H16:H32"/>
    <mergeCell ref="J16:J32"/>
    <mergeCell ref="C168:C172"/>
    <mergeCell ref="C88:C96"/>
  </mergeCells>
  <conditionalFormatting sqref="G5:G400">
    <cfRule type="expression" priority="1" dxfId="0">
      <formula>G5="Done"</formula>
    </cfRule>
    <cfRule type="expression" priority="2" dxfId="1">
      <formula>G5="Blocked"</formula>
    </cfRule>
    <cfRule type="expression" priority="3" dxfId="2">
      <formula>G5="In Progress"</formula>
    </cfRule>
    <cfRule type="expression" priority="4" dxfId="3">
      <formula>G5="In Review"</formula>
    </cfRule>
  </conditionalFormatting>
  <dataValidations count="4">
    <dataValidation sqref="F5:F400" showDropDown="0" showInputMessage="0" showErrorMessage="0" allowBlank="1" type="list">
      <formula1>"Core ★,Supporting,Optional,Conditional"</formula1>
    </dataValidation>
    <dataValidation sqref="E5:E400" showDropDown="0" showInputMessage="0" showErrorMessage="0" allowBlank="1" type="list">
      <formula1>"Malindu,Raveena,Dewmini,Sujan,Raveena + Dewmini,All members"</formula1>
    </dataValidation>
    <dataValidation sqref="G5:G400" showDropDown="0" showInputMessage="0" showErrorMessage="0" allowBlank="1" type="list">
      <formula1>"Not Started,In Progress,Blocked,In Review,Done"</formula1>
    </dataValidation>
    <dataValidation sqref="I5:I400" showDropDown="0" showInputMessage="0" showErrorMessage="0" allowBlank="1" type="list">
      <formula1>"Week 1,Week 2,Week 3,Weeks 1–2,Weeks 2–3,Ongoing,If finalist"</formula1>
    </dataValidation>
  </dataValidations>
  <pageMargins left="0.7" right="0.7" top="0.75" bottom="0.75" header="0" footer="0"/>
  <pageSetup orientation="landscape"/>
</worksheet>
</file>

<file path=xl/worksheets/sheet3.xml><?xml version="1.0" encoding="utf-8"?>
<worksheet xmlns="http://schemas.openxmlformats.org/spreadsheetml/2006/main">
  <sheetPr>
    <outlinePr summaryBelow="1" summaryRight="1"/>
    <pageSetUpPr/>
  </sheetPr>
  <dimension ref="A1:N244"/>
  <sheetViews>
    <sheetView workbookViewId="0">
      <pane ySplit="4" topLeftCell="A5" activePane="bottomLeft" state="frozen"/>
      <selection pane="bottomLeft" activeCell="B6" sqref="B6"/>
    </sheetView>
  </sheetViews>
  <sheetFormatPr baseColWidth="8" defaultColWidth="12.63" defaultRowHeight="15" customHeight="1"/>
  <cols>
    <col width="13" customWidth="1" style="36" min="1" max="1"/>
    <col width="10" customWidth="1" style="36" min="2" max="2"/>
    <col width="34" customWidth="1" style="36" min="3" max="3"/>
    <col width="67" customWidth="1" style="36" min="4" max="4"/>
    <col width="17" customWidth="1" style="36" min="5" max="5"/>
    <col width="18" customWidth="1" style="36" min="6" max="6"/>
    <col width="17" customWidth="1" style="36" min="7" max="7"/>
    <col width="16" customWidth="1" style="36" min="8" max="8"/>
    <col width="44" customWidth="1" style="36" min="9" max="9"/>
    <col width="34" customWidth="1" style="36" min="10" max="10"/>
    <col width="44" customWidth="1" style="36" min="11" max="26"/>
    <col width="12" customWidth="1" style="36" min="12" max="12"/>
    <col width="22" customWidth="1" style="36" min="13" max="13"/>
    <col width="30" customWidth="1" style="36" min="14" max="14"/>
  </cols>
  <sheetData>
    <row r="1" ht="45" customHeight="1" s="36">
      <c r="A1" s="1" t="inlineStr">
        <is>
          <t>QUANTEDGE 1.0 — SUBTASK TRACKER</t>
        </is>
      </c>
    </row>
    <row r="2" ht="28.5" customHeight="1" s="36">
      <c r="A2" s="5" t="inlineStr">
        <is>
          <t>Mark individual subtasks Done; main-task progress updates automatically. 240 subtasks (98 original + added). Generated from tracking/SUBTASKS.md by tracking/export_excel.py.</t>
        </is>
      </c>
    </row>
    <row r="4" ht="30.75" customHeight="1" s="36">
      <c r="A4" s="27" t="inlineStr">
        <is>
          <t>Subtask ID</t>
        </is>
      </c>
      <c r="B4" s="27" t="inlineStr">
        <is>
          <t>Task ID</t>
        </is>
      </c>
      <c r="C4" s="27" t="inlineStr">
        <is>
          <t>Main Task</t>
        </is>
      </c>
      <c r="D4" s="27" t="inlineStr">
        <is>
          <t>Actionable Subtask</t>
        </is>
      </c>
      <c r="E4" s="27" t="inlineStr">
        <is>
          <t>Assigned Owner</t>
        </is>
      </c>
      <c r="F4" s="27" t="inlineStr">
        <is>
          <t>Status</t>
        </is>
      </c>
      <c r="G4" s="27" t="inlineStr">
        <is>
          <t>Target Week</t>
        </is>
      </c>
      <c r="H4" s="27" t="inlineStr">
        <is>
          <t>Due Date</t>
        </is>
      </c>
      <c r="I4" s="27" t="inlineStr">
        <is>
          <t>Evidence / Link</t>
        </is>
      </c>
      <c r="J4" s="27" t="inlineStr">
        <is>
          <t>Notes</t>
        </is>
      </c>
      <c r="K4" s="27" t="inlineStr">
        <is>
          <t>Expected Output</t>
        </is>
      </c>
      <c r="L4" s="27" t="inlineStr">
        <is>
          <t>Priority</t>
        </is>
      </c>
      <c r="M4" s="27" t="inlineStr">
        <is>
          <t>Depends On</t>
        </is>
      </c>
      <c r="N4" s="27" t="inlineStr">
        <is>
          <t>Source</t>
        </is>
      </c>
    </row>
    <row r="5" ht="36.75" customHeight="1" s="36">
      <c r="A5" s="8" t="inlineStr">
        <is>
          <t>T1.01</t>
        </is>
      </c>
      <c r="B5" s="8" t="inlineStr">
        <is>
          <t>T1</t>
        </is>
      </c>
      <c r="C5" s="16" t="inlineStr">
        <is>
          <t>Project setup and shared decisions</t>
        </is>
      </c>
      <c r="D5" s="16" t="inlineStr">
        <is>
          <t>Create shared GitHub repository and directory structure</t>
        </is>
      </c>
      <c r="E5" s="16" t="inlineStr">
        <is>
          <t>Malindu</t>
        </is>
      </c>
      <c r="F5" s="16" t="inlineStr">
        <is>
          <t>In Progress</t>
        </is>
      </c>
      <c r="G5" s="16" t="inlineStr">
        <is>
          <t>Week 1</t>
        </is>
      </c>
      <c r="H5" s="14" t="n"/>
      <c r="I5" s="16" t="n"/>
      <c r="J5" s="16" t="n"/>
      <c r="K5" s="16" t="inlineStr">
        <is>
          <t>Folder tree, README, git repo; GitHub remote</t>
        </is>
      </c>
      <c r="L5" s="16" t="inlineStr">
        <is>
          <t>Critical</t>
        </is>
      </c>
      <c r="M5" s="16" t="inlineStr">
        <is>
          <t>—</t>
        </is>
      </c>
      <c r="N5" s="16" t="inlineStr">
        <is>
          <t>PM · local repo done, remote pending</t>
        </is>
      </c>
    </row>
    <row r="6" ht="36.75" customHeight="1" s="36">
      <c r="A6" s="8" t="inlineStr">
        <is>
          <t>T1.02</t>
        </is>
      </c>
      <c r="B6" s="8" t="inlineStr">
        <is>
          <t>T1</t>
        </is>
      </c>
      <c r="C6" s="16" t="inlineStr">
        <is>
          <t>Project setup and shared decisions</t>
        </is>
      </c>
      <c r="D6" s="16" t="inlineStr">
        <is>
          <t>Define environment, dependencies and setup commands</t>
        </is>
      </c>
      <c r="E6" s="16" t="inlineStr">
        <is>
          <t>Malindu</t>
        </is>
      </c>
      <c r="F6" s="16" t="inlineStr">
        <is>
          <t>In Progress</t>
        </is>
      </c>
      <c r="G6" s="16" t="inlineStr">
        <is>
          <t>Week 1</t>
        </is>
      </c>
      <c r="H6" s="14" t="n"/>
      <c r="I6" s="16" t="n"/>
      <c r="J6" s="16" t="n"/>
      <c r="K6" s="16" t="inlineStr">
        <is>
          <t>requirements.txt (pinned), setup steps in README</t>
        </is>
      </c>
      <c r="L6" s="16" t="inlineStr">
        <is>
          <t>High</t>
        </is>
      </c>
      <c r="M6" s="16" t="inlineStr">
        <is>
          <t>T1.01</t>
        </is>
      </c>
      <c r="N6" s="16" t="inlineStr">
        <is>
          <t>PM · unpinned list exists</t>
        </is>
      </c>
    </row>
    <row r="7" ht="36.75" customHeight="1" s="36">
      <c r="A7" s="8" t="inlineStr">
        <is>
          <t>T1.03</t>
        </is>
      </c>
      <c r="B7" s="8" t="inlineStr">
        <is>
          <t>T1</t>
        </is>
      </c>
      <c r="C7" s="16" t="inlineStr">
        <is>
          <t>Project setup and shared decisions</t>
        </is>
      </c>
      <c r="D7" s="16" t="inlineStr">
        <is>
          <t>Agree on common model input/output conventions</t>
        </is>
      </c>
      <c r="E7" s="16" t="inlineStr">
        <is>
          <t>Malindu</t>
        </is>
      </c>
      <c r="F7" s="16" t="inlineStr">
        <is>
          <t>Done</t>
        </is>
      </c>
      <c r="G7" s="16" t="inlineStr">
        <is>
          <t>Week 1</t>
        </is>
      </c>
      <c r="H7" s="14" t="n"/>
      <c r="I7" s="16" t="inlineStr">
        <is>
          <t>conventions.py + CALCULATION_DICTIONARY.md (D17)</t>
        </is>
      </c>
      <c r="J7" s="16" t="n"/>
      <c r="K7" s="16" t="inlineStr">
        <is>
          <t>conventions.py + CALCULATION_DICTIONARY.md (D17)</t>
        </is>
      </c>
      <c r="L7" s="16" t="inlineStr">
        <is>
          <t>Critical</t>
        </is>
      </c>
      <c r="M7" s="16" t="inlineStr">
        <is>
          <t>—</t>
        </is>
      </c>
      <c r="N7" s="16" t="inlineStr">
        <is>
          <t>PM · DEC D17</t>
        </is>
      </c>
    </row>
    <row r="8" ht="36.75" customHeight="1" s="36">
      <c r="A8" s="8" t="inlineStr">
        <is>
          <t>T1.04</t>
        </is>
      </c>
      <c r="B8" s="8" t="inlineStr">
        <is>
          <t>T1</t>
        </is>
      </c>
      <c r="C8" s="16" t="inlineStr">
        <is>
          <t>Project setup and shared decisions</t>
        </is>
      </c>
      <c r="D8" s="16" t="inlineStr">
        <is>
          <t>Agree date range, risk-free rate, benchmark and ETF universe</t>
        </is>
      </c>
      <c r="E8" s="16" t="inlineStr">
        <is>
          <t>Malindu</t>
        </is>
      </c>
      <c r="F8" s="16" t="inlineStr">
        <is>
          <t>Done</t>
        </is>
      </c>
      <c r="G8" s="16" t="inlineStr">
        <is>
          <t>Week 1</t>
        </is>
      </c>
      <c r="H8" s="14" t="n"/>
      <c r="I8" s="16" t="inlineStr">
        <is>
          <t>D1, D2, D3 approved in DECISIONS.md</t>
        </is>
      </c>
      <c r="J8" s="16" t="n"/>
      <c r="K8" s="16" t="inlineStr">
        <is>
          <t>D1, D2, D3 approved in DECISIONS.md</t>
        </is>
      </c>
      <c r="L8" s="16" t="inlineStr">
        <is>
          <t>Critical</t>
        </is>
      </c>
      <c r="M8" s="16" t="inlineStr">
        <is>
          <t>T2.06</t>
        </is>
      </c>
      <c r="N8" s="16" t="inlineStr">
        <is>
          <t>PM · D2 implemented, D1/D3 open</t>
        </is>
      </c>
    </row>
    <row r="9" ht="36.75" customHeight="1" s="36">
      <c r="A9" s="8" t="inlineStr">
        <is>
          <t>T1.05</t>
        </is>
      </c>
      <c r="B9" s="8" t="inlineStr">
        <is>
          <t>T1</t>
        </is>
      </c>
      <c r="C9" s="16" t="inlineStr">
        <is>
          <t>Project setup and shared decisions</t>
        </is>
      </c>
      <c r="D9" s="16" t="inlineStr">
        <is>
          <t>Record decisions, responsibility owners and review process</t>
        </is>
      </c>
      <c r="E9" s="16" t="inlineStr">
        <is>
          <t>Malindu</t>
        </is>
      </c>
      <c r="F9" s="16" t="inlineStr">
        <is>
          <t>Done</t>
        </is>
      </c>
      <c r="G9" s="16" t="inlineStr">
        <is>
          <t>Week 1</t>
        </is>
      </c>
      <c r="H9" s="14" t="n"/>
      <c r="I9" s="16" t="inlineStr">
        <is>
          <t>DECISIONS.md, AGENTS.md, review rules</t>
        </is>
      </c>
      <c r="J9" s="16" t="n"/>
      <c r="K9" s="16" t="inlineStr">
        <is>
          <t>DECISIONS.md, AGENTS.md, review rules</t>
        </is>
      </c>
      <c r="L9" s="16" t="inlineStr">
        <is>
          <t>High</t>
        </is>
      </c>
      <c r="M9" s="16" t="inlineStr">
        <is>
          <t>—</t>
        </is>
      </c>
      <c r="N9" s="16" t="inlineStr">
        <is>
          <t>PM</t>
        </is>
      </c>
    </row>
    <row r="10" ht="36.75" customHeight="1" s="36">
      <c r="A10" s="8" t="inlineStr">
        <is>
          <t>T1.06</t>
        </is>
      </c>
      <c r="B10" s="8" t="inlineStr">
        <is>
          <t>T1</t>
        </is>
      </c>
      <c r="C10" s="16" t="inlineStr">
        <is>
          <t>Project setup and shared decisions</t>
        </is>
      </c>
      <c r="D10" s="16" t="inlineStr">
        <is>
          <t>Map brief Layers 1–5 to code stages; keep the vocabularies separate</t>
        </is>
      </c>
      <c r="E10" s="16" t="inlineStr">
        <is>
          <t>Malindu</t>
        </is>
      </c>
      <c r="F10" s="16" t="inlineStr">
        <is>
          <t>Done</t>
        </is>
      </c>
      <c r="G10" s="16" t="inlineStr">
        <is>
          <t>Week 1</t>
        </is>
      </c>
      <c r="H10" s="14" t="n"/>
      <c r="I10" s="16" t="inlineStr">
        <is>
          <t>PROJECT_KNOWLEDGE.md §1</t>
        </is>
      </c>
      <c r="J10" s="16" t="n"/>
      <c r="K10" s="16" t="inlineStr">
        <is>
          <t>PROJECT_KNOWLEDGE.md §1</t>
        </is>
      </c>
      <c r="L10" s="16" t="inlineStr">
        <is>
          <t>High</t>
        </is>
      </c>
      <c r="M10" s="16" t="inlineStr">
        <is>
          <t>—</t>
        </is>
      </c>
      <c r="N10" s="16" t="inlineStr">
        <is>
          <t>REV</t>
        </is>
      </c>
    </row>
    <row r="11" ht="36.75" customHeight="1" s="36">
      <c r="A11" s="8" t="inlineStr">
        <is>
          <t>T1.07</t>
        </is>
      </c>
      <c r="B11" s="8" t="inlineStr">
        <is>
          <t>T1</t>
        </is>
      </c>
      <c r="C11" s="16" t="inlineStr">
        <is>
          <t>Project setup and shared decisions</t>
        </is>
      </c>
      <c r="D11" s="16" t="inlineStr">
        <is>
          <t>Settle blocking decisions D3, D5, D6, D7, D12 before portfolio stage</t>
        </is>
      </c>
      <c r="E11" s="16" t="inlineStr">
        <is>
          <t>All members</t>
        </is>
      </c>
      <c r="F11" s="16" t="inlineStr">
        <is>
          <t>Done</t>
        </is>
      </c>
      <c r="G11" s="16" t="inlineStr">
        <is>
          <t>Week 1</t>
        </is>
      </c>
      <c r="H11" s="14" t="n"/>
      <c r="I11" s="16" t="inlineStr">
        <is>
          <t>All five APPROVED in DECISIONS.md</t>
        </is>
      </c>
      <c r="J11" s="16" t="n"/>
      <c r="K11" s="16" t="inlineStr">
        <is>
          <t>All five APPROVED in DECISIONS.md</t>
        </is>
      </c>
      <c r="L11" s="16" t="inlineStr">
        <is>
          <t>Critical</t>
        </is>
      </c>
      <c r="M11" s="16" t="inlineStr">
        <is>
          <t>T3.01–T3.04</t>
        </is>
      </c>
      <c r="N11" s="16" t="inlineStr">
        <is>
          <t>DEC</t>
        </is>
      </c>
    </row>
    <row r="12" ht="36.75" customHeight="1" s="36">
      <c r="A12" s="8" t="inlineStr">
        <is>
          <t>T1.08</t>
        </is>
      </c>
      <c r="B12" s="8" t="inlineStr">
        <is>
          <t>T1</t>
        </is>
      </c>
      <c r="C12" s="16" t="inlineStr">
        <is>
          <t>Project setup and shared decisions</t>
        </is>
      </c>
      <c r="D12" s="16" t="inlineStr">
        <is>
          <t>Settle remaining decisions D1, D4, D8, D9, D11, D13, D16</t>
        </is>
      </c>
      <c r="E12" s="16" t="inlineStr">
        <is>
          <t>All members</t>
        </is>
      </c>
      <c r="F12" s="16" t="inlineStr">
        <is>
          <t>Not Started</t>
        </is>
      </c>
      <c r="G12" s="16" t="inlineStr">
        <is>
          <t>Week 1</t>
        </is>
      </c>
      <c r="H12" s="14" t="n"/>
      <c r="I12" s="16" t="n"/>
      <c r="J12" s="16" t="n"/>
      <c r="K12" s="16" t="inlineStr">
        <is>
          <t>APPROVED in DECISIONS.md</t>
        </is>
      </c>
      <c r="L12" s="16" t="inlineStr">
        <is>
          <t>High</t>
        </is>
      </c>
      <c r="M12" s="16" t="inlineStr">
        <is>
          <t>T1.07</t>
        </is>
      </c>
      <c r="N12" s="16" t="inlineStr">
        <is>
          <t>DEC</t>
        </is>
      </c>
    </row>
    <row r="13" ht="36.75" customHeight="1" s="36">
      <c r="A13" s="8" t="inlineStr">
        <is>
          <t>T1.09</t>
        </is>
      </c>
      <c r="B13" s="8" t="inlineStr">
        <is>
          <t>T1</t>
        </is>
      </c>
      <c r="C13" s="16" t="inlineStr">
        <is>
          <t>Project setup and shared decisions</t>
        </is>
      </c>
      <c r="D13" s="16" t="inlineStr">
        <is>
          <t>Upload missing Batch04 explainer (slides 61–80); remove duplicate Batch02</t>
        </is>
      </c>
      <c r="E13" s="16" t="inlineStr">
        <is>
          <t>Malindu</t>
        </is>
      </c>
      <c r="F13" s="16" t="inlineStr">
        <is>
          <t>Not Started</t>
        </is>
      </c>
      <c r="G13" s="16" t="inlineStr">
        <is>
          <t>Week 1</t>
        </is>
      </c>
      <c r="H13" s="14" t="n"/>
      <c r="I13" s="16" t="n"/>
      <c r="J13" s="16" t="n"/>
      <c r="K13" s="16" t="inlineStr">
        <is>
          <t>docs/references/explainers complete</t>
        </is>
      </c>
      <c r="L13" s="16" t="inlineStr">
        <is>
          <t>Low</t>
        </is>
      </c>
      <c r="M13" s="16" t="inlineStr">
        <is>
          <t>—</t>
        </is>
      </c>
      <c r="N13" s="16" t="inlineStr">
        <is>
          <t>REV</t>
        </is>
      </c>
    </row>
    <row r="14" ht="36.75" customHeight="1" s="36">
      <c r="A14" s="8" t="inlineStr">
        <is>
          <t>T1.10</t>
        </is>
      </c>
      <c r="B14" s="8" t="inlineStr">
        <is>
          <t>T1</t>
        </is>
      </c>
      <c r="C14" s="16" t="inlineStr">
        <is>
          <t>Project setup and shared decisions</t>
        </is>
      </c>
      <c r="D14" s="16" t="inlineStr">
        <is>
          <t>Approve decisions already implied by approved work: D4 5-year horizon (D7 uses it), D11 quarterly (D3 uses it), D13 1,000-day window, D1 full sample, D2 DTB3, D8 EVT method</t>
        </is>
      </c>
      <c r="E14" s="16" t="inlineStr">
        <is>
          <t>All members</t>
        </is>
      </c>
      <c r="F14" s="16" t="inlineStr">
        <is>
          <t>Done</t>
        </is>
      </c>
      <c r="G14" s="16" t="inlineStr">
        <is>
          <t>Week 1</t>
        </is>
      </c>
      <c r="H14" s="14" t="n"/>
      <c r="I14" s="16" t="inlineStr">
        <is>
          <t>APPROVED rows in DECISIONS.md</t>
        </is>
      </c>
      <c r="J14" s="16" t="n"/>
      <c r="K14" s="16" t="inlineStr">
        <is>
          <t>APPROVED rows in DECISIONS.md</t>
        </is>
      </c>
      <c r="L14" s="16" t="inlineStr">
        <is>
          <t>Critical</t>
        </is>
      </c>
      <c r="M14" s="16" t="inlineStr">
        <is>
          <t>—</t>
        </is>
      </c>
      <c r="N14" s="16" t="inlineStr">
        <is>
          <t>Review 2026-10-28 (all approved 2026-10-28)</t>
        </is>
      </c>
    </row>
    <row r="15" ht="36.75" customHeight="1" s="36">
      <c r="A15" s="8" t="inlineStr">
        <is>
          <t>T1.11</t>
        </is>
      </c>
      <c r="B15" s="8" t="inlineStr">
        <is>
          <t>T1</t>
        </is>
      </c>
      <c r="C15" s="16" t="inlineStr">
        <is>
          <t>Project setup and shared decisions</t>
        </is>
      </c>
      <c r="D15" s="16" t="inlineStr">
        <is>
          <t>Approve optimiser design for drawdown limit (CVaR constraint + CDaR or post-check)</t>
        </is>
      </c>
      <c r="E15" s="16" t="inlineStr">
        <is>
          <t>All members</t>
        </is>
      </c>
      <c r="F15" s="16" t="inlineStr">
        <is>
          <t>Done</t>
        </is>
      </c>
      <c r="G15" s="16" t="inlineStr">
        <is>
          <t>Week 1</t>
        </is>
      </c>
      <c r="H15" s="14" t="n"/>
      <c r="I15" s="16" t="inlineStr">
        <is>
          <t>Decision D22</t>
        </is>
      </c>
      <c r="J15" s="16" t="n"/>
      <c r="K15" s="16" t="inlineStr">
        <is>
          <t>Decision D22</t>
        </is>
      </c>
      <c r="L15" s="16" t="inlineStr">
        <is>
          <t>Critical</t>
        </is>
      </c>
      <c r="M15" s="16" t="inlineStr">
        <is>
          <t>T4.20</t>
        </is>
      </c>
      <c r="N15" s="16" t="inlineStr">
        <is>
          <t>Review 2026-10-28</t>
        </is>
      </c>
    </row>
    <row r="16" ht="36.75" customHeight="1" s="36">
      <c r="A16" s="8" t="inlineStr">
        <is>
          <t>T2.01</t>
        </is>
      </c>
      <c r="B16" s="8" t="inlineStr">
        <is>
          <t>T2</t>
        </is>
      </c>
      <c r="C16" s="16" t="inlineStr">
        <is>
          <t>Data pipeline and cleaning</t>
        </is>
      </c>
      <c r="D16" s="16" t="inlineStr">
        <is>
          <t>Download adjusted prices for all seven allowed ETFs</t>
        </is>
      </c>
      <c r="E16" s="16" t="inlineStr">
        <is>
          <t>Raveena</t>
        </is>
      </c>
      <c r="F16" s="16" t="inlineStr">
        <is>
          <t>Done</t>
        </is>
      </c>
      <c r="G16" s="16" t="inlineStr">
        <is>
          <t>Week 1</t>
        </is>
      </c>
      <c r="H16" s="14" t="n"/>
      <c r="I16" s="16" t="inlineStr">
        <is>
          <t>data/raw/yahoo_adj_close_2026-10-20.csv</t>
        </is>
      </c>
      <c r="J16" s="16" t="n"/>
      <c r="K16" s="16" t="inlineStr">
        <is>
          <t>data/raw/yahoo_adj_close_2026-10-20.csv</t>
        </is>
      </c>
      <c r="L16" s="16" t="inlineStr">
        <is>
          <t>Critical</t>
        </is>
      </c>
      <c r="M16" s="16" t="inlineStr">
        <is>
          <t>—</t>
        </is>
      </c>
      <c r="N16" s="16" t="inlineStr">
        <is>
          <t>PM · FJ M04 · BR p.9</t>
        </is>
      </c>
    </row>
    <row r="17" ht="36.75" customHeight="1" s="36">
      <c r="A17" s="8" t="inlineStr">
        <is>
          <t>T2.02</t>
        </is>
      </c>
      <c r="B17" s="8" t="inlineStr">
        <is>
          <t>T2</t>
        </is>
      </c>
      <c r="C17" s="16" t="inlineStr">
        <is>
          <t>Data pipeline and cleaning</t>
        </is>
      </c>
      <c r="D17" s="16" t="inlineStr">
        <is>
          <t>Document data source, download date and adjustment choices</t>
        </is>
      </c>
      <c r="E17" s="16" t="inlineStr">
        <is>
          <t>Raveena</t>
        </is>
      </c>
      <c r="F17" s="16" t="inlineStr">
        <is>
          <t>Done</t>
        </is>
      </c>
      <c r="G17" s="16" t="inlineStr">
        <is>
          <t>Week 1</t>
        </is>
      </c>
      <c r="H17" s="14" t="n"/>
      <c r="I17" s="16" t="inlineStr">
        <is>
          <t>raw .meta.json + data/README.md source log</t>
        </is>
      </c>
      <c r="J17" s="16" t="n"/>
      <c r="K17" s="16" t="inlineStr">
        <is>
          <t>raw .meta.json + data/README.md source log</t>
        </is>
      </c>
      <c r="L17" s="16" t="inlineStr">
        <is>
          <t>Critical</t>
        </is>
      </c>
      <c r="M17" s="16" t="inlineStr">
        <is>
          <t>T2.01</t>
        </is>
      </c>
      <c r="N17" s="16" t="inlineStr">
        <is>
          <t>PM · FJ M04</t>
        </is>
      </c>
    </row>
    <row r="18" ht="36.75" customHeight="1" s="36">
      <c r="A18" s="8" t="inlineStr">
        <is>
          <t>T2.03</t>
        </is>
      </c>
      <c r="B18" s="8" t="inlineStr">
        <is>
          <t>T2</t>
        </is>
      </c>
      <c r="C18" s="16" t="inlineStr">
        <is>
          <t>Data pipeline and cleaning</t>
        </is>
      </c>
      <c r="D18" s="16" t="inlineStr">
        <is>
          <t>Align calendars, missing observations and common sample</t>
        </is>
      </c>
      <c r="E18" s="16" t="inlineStr">
        <is>
          <t>Raveena</t>
        </is>
      </c>
      <c r="F18" s="16" t="inlineStr">
        <is>
          <t>Done</t>
        </is>
      </c>
      <c r="G18" s="16" t="inlineStr">
        <is>
          <t>Week 1</t>
        </is>
      </c>
      <c r="H18" s="14" t="n"/>
      <c r="I18" s="16" t="inlineStr">
        <is>
          <t>prices_aligned.csv; data_quality_missing.csv</t>
        </is>
      </c>
      <c r="J18" s="16" t="n"/>
      <c r="K18" s="16" t="inlineStr">
        <is>
          <t>prices_aligned.csv; data_quality_missing.csv</t>
        </is>
      </c>
      <c r="L18" s="16" t="inlineStr">
        <is>
          <t>Critical</t>
        </is>
      </c>
      <c r="M18" s="16" t="inlineStr">
        <is>
          <t>T2.01</t>
        </is>
      </c>
      <c r="N18" s="16" t="inlineStr">
        <is>
          <t>PM · FJ M05 · BR p.9</t>
        </is>
      </c>
    </row>
    <row r="19" ht="36.75" customHeight="1" s="36">
      <c r="A19" s="8" t="inlineStr">
        <is>
          <t>T2.04</t>
        </is>
      </c>
      <c r="B19" s="8" t="inlineStr">
        <is>
          <t>T2</t>
        </is>
      </c>
      <c r="C19" s="16" t="inlineStr">
        <is>
          <t>Data pipeline and cleaning</t>
        </is>
      </c>
      <c r="D19" s="16" t="inlineStr">
        <is>
          <t>Calculate daily log returns and verify computations</t>
        </is>
      </c>
      <c r="E19" s="16" t="inlineStr">
        <is>
          <t>Raveena</t>
        </is>
      </c>
      <c r="F19" s="16" t="inlineStr">
        <is>
          <t>Done</t>
        </is>
      </c>
      <c r="G19" s="16" t="inlineStr">
        <is>
          <t>Week 1</t>
        </is>
      </c>
      <c r="H19" s="14" t="n"/>
      <c r="I19" s="16" t="inlineStr">
        <is>
          <t>log_returns.csv + tests</t>
        </is>
      </c>
      <c r="J19" s="16" t="n"/>
      <c r="K19" s="16" t="inlineStr">
        <is>
          <t>log_returns.csv + tests</t>
        </is>
      </c>
      <c r="L19" s="16" t="inlineStr">
        <is>
          <t>Critical</t>
        </is>
      </c>
      <c r="M19" s="16" t="inlineStr">
        <is>
          <t>T2.03</t>
        </is>
      </c>
      <c r="N19" s="16" t="inlineStr">
        <is>
          <t>PM · BR p.9</t>
        </is>
      </c>
    </row>
    <row r="20" ht="36.75" customHeight="1" s="36">
      <c r="A20" s="8" t="inlineStr">
        <is>
          <t>T2.05</t>
        </is>
      </c>
      <c r="B20" s="8" t="inlineStr">
        <is>
          <t>T2</t>
        </is>
      </c>
      <c r="C20" s="16" t="inlineStr">
        <is>
          <t>Data pipeline and cleaning</t>
        </is>
      </c>
      <c r="D20" s="16" t="inlineStr">
        <is>
          <t>Flag potential outliers without automatically deleting them</t>
        </is>
      </c>
      <c r="E20" s="16" t="inlineStr">
        <is>
          <t>Raveena</t>
        </is>
      </c>
      <c r="F20" s="16" t="inlineStr">
        <is>
          <t>Done</t>
        </is>
      </c>
      <c r="G20" s="16" t="inlineStr">
        <is>
          <t>Week 1</t>
        </is>
      </c>
      <c r="H20" s="14" t="n"/>
      <c r="I20" s="16" t="inlineStr">
        <is>
          <t>outlier_flags_zscore.csv (abs z &gt; 5)</t>
        </is>
      </c>
      <c r="J20" s="16" t="n"/>
      <c r="K20" s="16" t="inlineStr">
        <is>
          <t>outlier_flags_zscore.csv (abs z &gt; 5)</t>
        </is>
      </c>
      <c r="L20" s="16" t="inlineStr">
        <is>
          <t>Critical</t>
        </is>
      </c>
      <c r="M20" s="16" t="inlineStr">
        <is>
          <t>T2.04</t>
        </is>
      </c>
      <c r="N20" s="16" t="inlineStr">
        <is>
          <t>PM · BR p.9</t>
        </is>
      </c>
    </row>
    <row r="21" ht="36.75" customHeight="1" s="36">
      <c r="A21" s="8" t="inlineStr">
        <is>
          <t>T2.06</t>
        </is>
      </c>
      <c r="B21" s="8" t="inlineStr">
        <is>
          <t>T2</t>
        </is>
      </c>
      <c r="C21" s="16" t="inlineStr">
        <is>
          <t>Data pipeline and cleaning</t>
        </is>
      </c>
      <c r="D21" s="16" t="inlineStr">
        <is>
          <t>Run ADF tests and export reproducible clean datasets</t>
        </is>
      </c>
      <c r="E21" s="16" t="inlineStr">
        <is>
          <t>Raveena</t>
        </is>
      </c>
      <c r="F21" s="16" t="inlineStr">
        <is>
          <t>Done</t>
        </is>
      </c>
      <c r="G21" s="16" t="inlineStr">
        <is>
          <t>Week 1</t>
        </is>
      </c>
      <c r="H21" s="14" t="n"/>
      <c r="I21" s="16" t="inlineStr">
        <is>
          <t>outputs/tables/adf_results.csv</t>
        </is>
      </c>
      <c r="J21" s="16" t="n"/>
      <c r="K21" s="16" t="inlineStr">
        <is>
          <t>outputs/tables/adf_results.csv</t>
        </is>
      </c>
      <c r="L21" s="16" t="inlineStr">
        <is>
          <t>Critical</t>
        </is>
      </c>
      <c r="M21" s="16" t="inlineStr">
        <is>
          <t>T2.04</t>
        </is>
      </c>
      <c r="N21" s="16" t="inlineStr">
        <is>
          <t>PM · BR p.9</t>
        </is>
      </c>
    </row>
    <row r="22" ht="36.75" customHeight="1" s="36">
      <c r="A22" s="8" t="inlineStr">
        <is>
          <t>T2.07</t>
        </is>
      </c>
      <c r="B22" s="8" t="inlineStr">
        <is>
          <t>T2</t>
        </is>
      </c>
      <c r="C22" s="16" t="inlineStr">
        <is>
          <t>Data pipeline and cleaning</t>
        </is>
      </c>
      <c r="D22" s="16" t="inlineStr">
        <is>
          <t>Move notebook logic into tested data-stage code; prove it reproduces the original files</t>
        </is>
      </c>
      <c r="E22" s="16" t="inlineStr">
        <is>
          <t>Raveena</t>
        </is>
      </c>
      <c r="F22" s="16" t="inlineStr">
        <is>
          <t>Done</t>
        </is>
      </c>
      <c r="G22" s="16" t="inlineStr">
        <is>
          <t>Week 1</t>
        </is>
      </c>
      <c r="H22" s="14" t="n"/>
      <c r="I22" s="16" t="inlineStr">
        <is>
          <t>src/quantedge/data/, regression test (diff ≤ 3e-14)</t>
        </is>
      </c>
      <c r="J22" s="16" t="n"/>
      <c r="K22" s="16" t="inlineStr">
        <is>
          <t>src/quantedge/data/, regression test (diff ≤ 3e-14)</t>
        </is>
      </c>
      <c r="L22" s="16" t="inlineStr">
        <is>
          <t>Critical</t>
        </is>
      </c>
      <c r="M22" s="16" t="inlineStr">
        <is>
          <t>T2.06</t>
        </is>
      </c>
      <c r="N22" s="16" t="inlineStr">
        <is>
          <t>REV · BR p.9 reproducible</t>
        </is>
      </c>
    </row>
    <row r="23" ht="36.75" customHeight="1" s="36">
      <c r="A23" s="8" t="inlineStr">
        <is>
          <t>T2.08</t>
        </is>
      </c>
      <c r="B23" s="8" t="inlineStr">
        <is>
          <t>T2</t>
        </is>
      </c>
      <c r="C23" s="16" t="inlineStr">
        <is>
          <t>Data pipeline and cleaning</t>
        </is>
      </c>
      <c r="D23" s="16" t="inlineStr">
        <is>
          <t>Calculate simple returns and state where simple vs log are used</t>
        </is>
      </c>
      <c r="E23" s="16" t="inlineStr">
        <is>
          <t>Raveena</t>
        </is>
      </c>
      <c r="F23" s="16" t="inlineStr">
        <is>
          <t>Done</t>
        </is>
      </c>
      <c r="G23" s="16" t="inlineStr">
        <is>
          <t>Week 1</t>
        </is>
      </c>
      <c r="H23" s="14" t="n"/>
      <c r="I23" s="16" t="inlineStr">
        <is>
          <t>simple_returns.csv; D17</t>
        </is>
      </c>
      <c r="J23" s="16" t="n"/>
      <c r="K23" s="16" t="inlineStr">
        <is>
          <t>simple_returns.csv; D17</t>
        </is>
      </c>
      <c r="L23" s="16" t="inlineStr">
        <is>
          <t>Critical</t>
        </is>
      </c>
      <c r="M23" s="16" t="inlineStr">
        <is>
          <t>T2.03</t>
        </is>
      </c>
      <c r="N23" s="16" t="inlineStr">
        <is>
          <t>BR p.9 · FJ M05</t>
        </is>
      </c>
    </row>
    <row r="24" ht="36.75" customHeight="1" s="36">
      <c r="A24" s="8" t="inlineStr">
        <is>
          <t>T2.09</t>
        </is>
      </c>
      <c r="B24" s="8" t="inlineStr">
        <is>
          <t>T2</t>
        </is>
      </c>
      <c r="C24" s="16" t="inlineStr">
        <is>
          <t>Data pipeline and cleaning</t>
        </is>
      </c>
      <c r="D24" s="16" t="inlineStr">
        <is>
          <t>Download FRED DTB3, DGS10, CPI; align to trading days without look-ahead</t>
        </is>
      </c>
      <c r="E24" s="16" t="inlineStr">
        <is>
          <t>Raveena</t>
        </is>
      </c>
      <c r="F24" s="16" t="inlineStr">
        <is>
          <t>Done</t>
        </is>
      </c>
      <c r="G24" s="16" t="inlineStr">
        <is>
          <t>Week 1</t>
        </is>
      </c>
      <c r="H24" s="14" t="n"/>
      <c r="I24" s="16" t="inlineStr">
        <is>
          <t>rates_daily.csv, cpi_monthly.csv</t>
        </is>
      </c>
      <c r="J24" s="16" t="n"/>
      <c r="K24" s="16" t="inlineStr">
        <is>
          <t>rates_daily.csv, cpi_monthly.csv</t>
        </is>
      </c>
      <c r="L24" s="16" t="inlineStr">
        <is>
          <t>Critical</t>
        </is>
      </c>
      <c r="M24" s="16" t="inlineStr">
        <is>
          <t>T2.03</t>
        </is>
      </c>
      <c r="N24" s="16" t="inlineStr">
        <is>
          <t>BR p.9 · FJ M04</t>
        </is>
      </c>
    </row>
    <row r="25" ht="36.75" customHeight="1" s="36">
      <c r="A25" s="8" t="inlineStr">
        <is>
          <t>T2.10</t>
        </is>
      </c>
      <c r="B25" s="8" t="inlineStr">
        <is>
          <t>T2</t>
        </is>
      </c>
      <c r="C25" s="16" t="inlineStr">
        <is>
          <t>Data pipeline and cleaning</t>
        </is>
      </c>
      <c r="D25" s="16" t="inlineStr">
        <is>
          <t>Extra quality checks: stale prices, jumps, reversals, large negatives, variance breaks</t>
        </is>
      </c>
      <c r="E25" s="16" t="inlineStr">
        <is>
          <t>Raveena</t>
        </is>
      </c>
      <c r="F25" s="16" t="inlineStr">
        <is>
          <t>Done</t>
        </is>
      </c>
      <c r="G25" s="16" t="inlineStr">
        <is>
          <t>Week 1</t>
        </is>
      </c>
      <c r="H25" s="14" t="n"/>
      <c r="I25" s="16" t="inlineStr">
        <is>
          <t>data_quality_flags.csv, flag counts, Inclán–Tiao table</t>
        </is>
      </c>
      <c r="J25" s="16" t="n"/>
      <c r="K25" s="16" t="inlineStr">
        <is>
          <t>data_quality_flags.csv, flag counts, Inclán–Tiao table</t>
        </is>
      </c>
      <c r="L25" s="16" t="inlineStr">
        <is>
          <t>Critical</t>
        </is>
      </c>
      <c r="M25" s="16" t="inlineStr">
        <is>
          <t>T2.04</t>
        </is>
      </c>
      <c r="N25" s="16" t="inlineStr">
        <is>
          <t>BR p.9</t>
        </is>
      </c>
    </row>
    <row r="26" ht="36.75" customHeight="1" s="36">
      <c r="A26" s="8" t="inlineStr">
        <is>
          <t>T2.11</t>
        </is>
      </c>
      <c r="B26" s="8" t="inlineStr">
        <is>
          <t>T2</t>
        </is>
      </c>
      <c r="C26" s="16" t="inlineStr">
        <is>
          <t>Data pipeline and cleaning</t>
        </is>
      </c>
      <c r="D26" s="16" t="inlineStr">
        <is>
          <t>Review every flag against market events; document decisions</t>
        </is>
      </c>
      <c r="E26" s="16" t="inlineStr">
        <is>
          <t>Raveena</t>
        </is>
      </c>
      <c r="F26" s="16" t="inlineStr">
        <is>
          <t>Done</t>
        </is>
      </c>
      <c r="G26" s="16" t="inlineStr">
        <is>
          <t>Week 1</t>
        </is>
      </c>
      <c r="H26" s="14" t="n"/>
      <c r="I26" s="16" t="inlineStr">
        <is>
          <t>Flag review table in data/README.md</t>
        </is>
      </c>
      <c r="J26" s="16" t="n"/>
      <c r="K26" s="16" t="inlineStr">
        <is>
          <t>Flag review table in data/README.md</t>
        </is>
      </c>
      <c r="L26" s="16" t="inlineStr">
        <is>
          <t>High</t>
        </is>
      </c>
      <c r="M26" s="16" t="inlineStr">
        <is>
          <t>T2.10</t>
        </is>
      </c>
      <c r="N26" s="16" t="inlineStr">
        <is>
          <t>BR p.9 'documented, not hidden'</t>
        </is>
      </c>
    </row>
    <row r="27" ht="36.75" customHeight="1" s="36">
      <c r="A27" s="8" t="inlineStr">
        <is>
          <t>T2.12</t>
        </is>
      </c>
      <c r="B27" s="8" t="inlineStr">
        <is>
          <t>T2</t>
        </is>
      </c>
      <c r="C27" s="16" t="inlineStr">
        <is>
          <t>Data pipeline and cleaning</t>
        </is>
      </c>
      <c r="D27" s="16" t="inlineStr">
        <is>
          <t>Confirm GLD −10.8% on 2026-01-30 against market news</t>
        </is>
      </c>
      <c r="E27" s="16" t="inlineStr">
        <is>
          <t>Raveena</t>
        </is>
      </c>
      <c r="F27" s="16" t="inlineStr">
        <is>
          <t>Not Started</t>
        </is>
      </c>
      <c r="G27" s="16" t="inlineStr">
        <is>
          <t>Week 1</t>
        </is>
      </c>
      <c r="H27" s="14" t="n"/>
      <c r="I27" s="16" t="n"/>
      <c r="J27" s="16" t="n"/>
      <c r="K27" s="16" t="inlineStr">
        <is>
          <t>Note in data/README.md</t>
        </is>
      </c>
      <c r="L27" s="16" t="inlineStr">
        <is>
          <t>Medium</t>
        </is>
      </c>
      <c r="M27" s="16" t="inlineStr">
        <is>
          <t>T2.11</t>
        </is>
      </c>
      <c r="N27" s="16" t="inlineStr">
        <is>
          <t>REV</t>
        </is>
      </c>
    </row>
    <row r="28" ht="36.75" customHeight="1" s="36">
      <c r="A28" s="8" t="inlineStr">
        <is>
          <t>T2.13</t>
        </is>
      </c>
      <c r="B28" s="8" t="inlineStr">
        <is>
          <t>T2</t>
        </is>
      </c>
      <c r="C28" s="16" t="inlineStr">
        <is>
          <t>Data pipeline and cleaning</t>
        </is>
      </c>
      <c r="D28" s="16" t="inlineStr">
        <is>
          <t>Implement chronological train / validation / test split in code</t>
        </is>
      </c>
      <c r="E28" s="16" t="inlineStr">
        <is>
          <t>Raveena</t>
        </is>
      </c>
      <c r="F28" s="16" t="inlineStr">
        <is>
          <t>Done</t>
        </is>
      </c>
      <c r="G28" s="16" t="inlineStr">
        <is>
          <t>Week 1</t>
        </is>
      </c>
      <c r="H28" s="14" t="n"/>
      <c r="I28" s="16" t="inlineStr">
        <is>
          <t>data/processed/split_labels.csv, outputs/tables/split_summary.csv, data/split.py + 5 tests</t>
        </is>
      </c>
      <c r="J28" s="16" t="n"/>
      <c r="K28" s="16" t="inlineStr">
        <is>
          <t>data/processed/split_labels.csv, outputs/tables/split_summary.csv, data/split.py + 5 tests</t>
        </is>
      </c>
      <c r="L28" s="16" t="inlineStr">
        <is>
          <t>Critical</t>
        </is>
      </c>
      <c r="M28" s="16" t="inlineStr">
        <is>
          <t>T1.07 (D5)</t>
        </is>
      </c>
      <c r="N28" s="16" t="inlineStr">
        <is>
          <t>FJ M06 · DEC D5</t>
        </is>
      </c>
    </row>
    <row r="29" ht="36.75" customHeight="1" s="36">
      <c r="A29" s="8" t="inlineStr">
        <is>
          <t>T2.14</t>
        </is>
      </c>
      <c r="B29" s="8" t="inlineStr">
        <is>
          <t>T2</t>
        </is>
      </c>
      <c r="C29" s="16" t="inlineStr">
        <is>
          <t>Data pipeline and cleaning</t>
        </is>
      </c>
      <c r="D29" s="16" t="inlineStr">
        <is>
          <t>Download ETF distributions (dividends) for the income objective</t>
        </is>
      </c>
      <c r="E29" s="16" t="inlineStr">
        <is>
          <t>Raveena</t>
        </is>
      </c>
      <c r="F29" s="16" t="inlineStr">
        <is>
          <t>Done</t>
        </is>
      </c>
      <c r="G29" s="16" t="inlineStr">
        <is>
          <t>Week 1</t>
        </is>
      </c>
      <c r="H29" s="14" t="n"/>
      <c r="I29" s="16" t="inlineStr">
        <is>
          <t>data/raw dividends snapshot; distribution yield per ETF</t>
        </is>
      </c>
      <c r="J29" s="16" t="n"/>
      <c r="K29" s="16" t="inlineStr">
        <is>
          <t>data/raw dividends snapshot; distribution yield per ETF</t>
        </is>
      </c>
      <c r="L29" s="16" t="inlineStr">
        <is>
          <t>Medium</t>
        </is>
      </c>
      <c r="M29" s="16" t="inlineStr">
        <is>
          <t>T2.01</t>
        </is>
      </c>
      <c r="N29" s="16" t="inlineStr">
        <is>
          <t>FJ M-N01 · BR p.3 income</t>
        </is>
      </c>
    </row>
    <row r="30" ht="36.75" customHeight="1" s="36">
      <c r="A30" s="8" t="inlineStr">
        <is>
          <t>T2.15</t>
        </is>
      </c>
      <c r="B30" s="8" t="inlineStr">
        <is>
          <t>T2</t>
        </is>
      </c>
      <c r="C30" s="16" t="inlineStr">
        <is>
          <t>Data pipeline and cleaning</t>
        </is>
      </c>
      <c r="D30" s="16" t="inlineStr">
        <is>
          <t>ETF instrument register: asset class, role, inception, distribution policy (no extra data sources)</t>
        </is>
      </c>
      <c r="E30" s="16" t="inlineStr">
        <is>
          <t>Raveena</t>
        </is>
      </c>
      <c r="F30" s="16" t="inlineStr">
        <is>
          <t>Not Started</t>
        </is>
      </c>
      <c r="G30" s="16" t="inlineStr">
        <is>
          <t>Week 1</t>
        </is>
      </c>
      <c r="H30" s="14" t="n"/>
      <c r="I30" s="16" t="n"/>
      <c r="J30" s="16" t="n"/>
      <c r="K30" s="16" t="inlineStr">
        <is>
          <t>docs/ETF_REGISTER.md</t>
        </is>
      </c>
      <c r="L30" s="16" t="inlineStr">
        <is>
          <t>Medium</t>
        </is>
      </c>
      <c r="M30" s="16" t="inlineStr">
        <is>
          <t>—</t>
        </is>
      </c>
      <c r="N30" s="16" t="inlineStr">
        <is>
          <t>FJ M03/M-N01</t>
        </is>
      </c>
    </row>
    <row r="31" ht="36.75" customHeight="1" s="36">
      <c r="A31" s="8" t="inlineStr">
        <is>
          <t>T2.16</t>
        </is>
      </c>
      <c r="B31" s="8" t="inlineStr">
        <is>
          <t>T2</t>
        </is>
      </c>
      <c r="C31" s="16" t="inlineStr">
        <is>
          <t>Data pipeline and cleaning</t>
        </is>
      </c>
      <c r="D31" s="16" t="inlineStr">
        <is>
          <t>Team sign-off of data-stage validation log entries</t>
        </is>
      </c>
      <c r="E31" s="16" t="inlineStr">
        <is>
          <t>Raveena</t>
        </is>
      </c>
      <c r="F31" s="16" t="inlineStr">
        <is>
          <t>Not Started</t>
        </is>
      </c>
      <c r="G31" s="16" t="inlineStr">
        <is>
          <t>Week 1</t>
        </is>
      </c>
      <c r="H31" s="14" t="n"/>
      <c r="I31" s="16" t="n"/>
      <c r="J31" s="16" t="n"/>
      <c r="K31" s="16" t="inlineStr">
        <is>
          <t>Signed rows in HUMAN_VALIDATION_LOG.md</t>
        </is>
      </c>
      <c r="L31" s="16" t="inlineStr">
        <is>
          <t>High</t>
        </is>
      </c>
      <c r="M31" s="16" t="inlineStr">
        <is>
          <t>T2.11</t>
        </is>
      </c>
      <c r="N31" s="16" t="inlineStr">
        <is>
          <t>BR p.8 · REV</t>
        </is>
      </c>
    </row>
    <row r="32" ht="36.75" customHeight="1" s="36">
      <c r="A32" s="8" t="inlineStr">
        <is>
          <t>T2.17</t>
        </is>
      </c>
      <c r="B32" s="8" t="inlineStr">
        <is>
          <t>T2</t>
        </is>
      </c>
      <c r="C32" s="16" t="inlineStr">
        <is>
          <t>Data pipeline and cleaning</t>
        </is>
      </c>
      <c r="D32" s="16" t="inlineStr">
        <is>
          <t>Move quarterly-rebalanced NAV/turnover function from research script into common/conventions with tests</t>
        </is>
      </c>
      <c r="E32" s="16" t="inlineStr">
        <is>
          <t>Malindu</t>
        </is>
      </c>
      <c r="F32" s="16" t="inlineStr">
        <is>
          <t>Done</t>
        </is>
      </c>
      <c r="G32" s="16" t="inlineStr">
        <is>
          <t>Week 1</t>
        </is>
      </c>
      <c r="H32" s="14" t="n"/>
      <c r="I32" s="16" t="inlineStr">
        <is>
          <t>conventions.rebalanced_returns + 4 tests; research script uses it (results identical, turnover −0.08 pp)</t>
        </is>
      </c>
      <c r="J32" s="16" t="n"/>
      <c r="K32" s="16" t="inlineStr">
        <is>
          <t>conventions.rebalanced_returns + 4 tests; research script uses it (results identical, turnover −0.08 pp)</t>
        </is>
      </c>
      <c r="L32" s="16" t="inlineStr">
        <is>
          <t>High</t>
        </is>
      </c>
      <c r="M32" s="16" t="inlineStr">
        <is>
          <t>T1.03</t>
        </is>
      </c>
      <c r="N32" s="16" t="inlineStr">
        <is>
          <t>Review: portfolio and benchmark must use identical rebalancing</t>
        </is>
      </c>
    </row>
    <row r="33" ht="36.75" customHeight="1" s="36">
      <c r="A33" s="8" t="inlineStr">
        <is>
          <t>T3.01</t>
        </is>
      </c>
      <c r="B33" s="8" t="inlineStr">
        <is>
          <t>T3</t>
        </is>
      </c>
      <c r="C33" s="16" t="inlineStr">
        <is>
          <t>Client mandate (investment policy)</t>
        </is>
      </c>
      <c r="D33" s="16" t="inlineStr">
        <is>
          <t>Define endowment horizon, investment purpose and liquidity needs</t>
        </is>
      </c>
      <c r="E33" s="16" t="inlineStr">
        <is>
          <t>Sujan</t>
        </is>
      </c>
      <c r="F33" s="16" t="inlineStr">
        <is>
          <t>Done</t>
        </is>
      </c>
      <c r="G33" s="16" t="inlineStr">
        <is>
          <t>Week 1</t>
        </is>
      </c>
      <c r="H33" s="14" t="n"/>
      <c r="I33" s="16" t="inlineStr">
        <is>
          <t>Horizon D4 + liquidity statement in IPS</t>
        </is>
      </c>
      <c r="J33" s="16" t="n"/>
      <c r="K33" s="16" t="inlineStr">
        <is>
          <t>Horizon D4 + liquidity statement in IPS</t>
        </is>
      </c>
      <c r="L33" s="16" t="inlineStr">
        <is>
          <t>Critical</t>
        </is>
      </c>
      <c r="M33" s="16" t="inlineStr">
        <is>
          <t>—</t>
        </is>
      </c>
      <c r="N33" s="16" t="inlineStr">
        <is>
          <t>PM · FJ M01 · BR p.4 · D4 PROPOSED 5y (used by D7)</t>
        </is>
      </c>
    </row>
    <row r="34" ht="36.75" customHeight="1" s="36">
      <c r="A34" s="8" t="inlineStr">
        <is>
          <t>T3.02</t>
        </is>
      </c>
      <c r="B34" s="8" t="inlineStr">
        <is>
          <t>T3</t>
        </is>
      </c>
      <c r="C34" s="16" t="inlineStr">
        <is>
          <t>Client mandate (investment policy)</t>
        </is>
      </c>
      <c r="D34" s="16" t="inlineStr">
        <is>
          <t>Propose justified return and inflation-protection objectives</t>
        </is>
      </c>
      <c r="E34" s="16" t="inlineStr">
        <is>
          <t>Sujan</t>
        </is>
      </c>
      <c r="F34" s="16" t="inlineStr">
        <is>
          <t>Done</t>
        </is>
      </c>
      <c r="G34" s="16" t="inlineStr">
        <is>
          <t>Week 1</t>
        </is>
      </c>
      <c r="H34" s="14" t="n"/>
      <c r="I34" s="16" t="inlineStr">
        <is>
          <t>Return objective D12 (CPI + x%) with evidence</t>
        </is>
      </c>
      <c r="J34" s="16" t="n"/>
      <c r="K34" s="16" t="inlineStr">
        <is>
          <t>Return objective D12 (CPI + x%) with evidence</t>
        </is>
      </c>
      <c r="L34" s="16" t="inlineStr">
        <is>
          <t>Critical</t>
        </is>
      </c>
      <c r="M34" s="16" t="inlineStr">
        <is>
          <t>T2.09</t>
        </is>
      </c>
      <c r="N34" s="16" t="inlineStr">
        <is>
          <t>PM · DEC D12 APPROVED (provisional)</t>
        </is>
      </c>
    </row>
    <row r="35" ht="36.75" customHeight="1" s="36">
      <c r="A35" s="8" t="inlineStr">
        <is>
          <t>T3.03</t>
        </is>
      </c>
      <c r="B35" s="8" t="inlineStr">
        <is>
          <t>T3</t>
        </is>
      </c>
      <c r="C35" s="16" t="inlineStr">
        <is>
          <t>Client mandate (investment policy)</t>
        </is>
      </c>
      <c r="D35" s="16" t="inlineStr">
        <is>
          <t>Set no-short-selling, allocation caps and risk-budget rules</t>
        </is>
      </c>
      <c r="E35" s="16" t="inlineStr">
        <is>
          <t>Sujan</t>
        </is>
      </c>
      <c r="F35" s="16" t="inlineStr">
        <is>
          <t>Done</t>
        </is>
      </c>
      <c r="G35" s="16" t="inlineStr">
        <is>
          <t>Week 1</t>
        </is>
      </c>
      <c r="H35" s="14" t="n"/>
      <c r="I35" s="16" t="inlineStr">
        <is>
          <t>Constraints D6 in config</t>
        </is>
      </c>
      <c r="J35" s="16" t="n"/>
      <c r="K35" s="16" t="inlineStr">
        <is>
          <t>Constraints D6 in config</t>
        </is>
      </c>
      <c r="L35" s="16" t="inlineStr">
        <is>
          <t>Critical</t>
        </is>
      </c>
      <c r="M35" s="16" t="inlineStr">
        <is>
          <t>T3.01</t>
        </is>
      </c>
      <c r="N35" s="16" t="inlineStr">
        <is>
          <t>PM · FJ M02 · BR p.4</t>
        </is>
      </c>
    </row>
    <row r="36" ht="36.75" customHeight="1" s="36">
      <c r="A36" s="8" t="inlineStr">
        <is>
          <t>T3.04</t>
        </is>
      </c>
      <c r="B36" s="8" t="inlineStr">
        <is>
          <t>T3</t>
        </is>
      </c>
      <c r="C36" s="16" t="inlineStr">
        <is>
          <t>Client mandate (investment policy)</t>
        </is>
      </c>
      <c r="D36" s="16" t="inlineStr">
        <is>
          <t>Propose VaR, ES and drawdown tolerances</t>
        </is>
      </c>
      <c r="E36" s="16" t="inlineStr">
        <is>
          <t>Sujan</t>
        </is>
      </c>
      <c r="F36" s="16" t="inlineStr">
        <is>
          <t>Done</t>
        </is>
      </c>
      <c r="G36" s="16" t="inlineStr">
        <is>
          <t>Week 1</t>
        </is>
      </c>
      <c r="H36" s="14" t="n"/>
      <c r="I36" s="16" t="inlineStr">
        <is>
          <t>Risk limits D7 (USD and % NAV)</t>
        </is>
      </c>
      <c r="J36" s="16" t="n"/>
      <c r="K36" s="16" t="inlineStr">
        <is>
          <t>Risk limits D7 (USD and % NAV)</t>
        </is>
      </c>
      <c r="L36" s="16" t="inlineStr">
        <is>
          <t>Critical</t>
        </is>
      </c>
      <c r="M36" s="16" t="inlineStr">
        <is>
          <t>T3.01</t>
        </is>
      </c>
      <c r="N36" s="16" t="inlineStr">
        <is>
          <t>PM · FJ M02 · BR p.4</t>
        </is>
      </c>
    </row>
    <row r="37" ht="36.75" customHeight="1" s="36">
      <c r="A37" s="8" t="inlineStr">
        <is>
          <t>T3.05</t>
        </is>
      </c>
      <c r="B37" s="8" t="inlineStr">
        <is>
          <t>T3</t>
        </is>
      </c>
      <c r="C37" s="16" t="inlineStr">
        <is>
          <t>Client mandate (investment policy)</t>
        </is>
      </c>
      <c r="D37" s="16" t="inlineStr">
        <is>
          <t>Document assumptions and secure team agreement</t>
        </is>
      </c>
      <c r="E37" s="16" t="inlineStr">
        <is>
          <t>Sujan</t>
        </is>
      </c>
      <c r="F37" s="16" t="inlineStr">
        <is>
          <t>Not Started</t>
        </is>
      </c>
      <c r="G37" s="16" t="inlineStr">
        <is>
          <t>Week 1</t>
        </is>
      </c>
      <c r="H37" s="14" t="n"/>
      <c r="I37" s="16" t="n"/>
      <c r="J37" s="16" t="n"/>
      <c r="K37" s="16" t="inlineStr">
        <is>
          <t>docs/IPS.md consolidating D4, D6, D7, D10, D12 (one source for report + app)</t>
        </is>
      </c>
      <c r="L37" s="16" t="inlineStr">
        <is>
          <t>Critical</t>
        </is>
      </c>
      <c r="M37" s="16" t="inlineStr">
        <is>
          <t>T3.01–T3.08</t>
        </is>
      </c>
      <c r="N37" s="16" t="inlineStr">
        <is>
          <t>PM</t>
        </is>
      </c>
    </row>
    <row r="38" ht="36.75" customHeight="1" s="36">
      <c r="A38" s="8" t="inlineStr">
        <is>
          <t>T3.06</t>
        </is>
      </c>
      <c r="B38" s="8" t="inlineStr">
        <is>
          <t>T3</t>
        </is>
      </c>
      <c r="C38" s="16" t="inlineStr">
        <is>
          <t>Client mandate (investment policy)</t>
        </is>
      </c>
      <c r="D38" s="16" t="inlineStr">
        <is>
          <t>Spending rule and cost assumptions (spending rate, turnover cost; ETF fees already in prices)</t>
        </is>
      </c>
      <c r="E38" s="16" t="inlineStr">
        <is>
          <t>Sujan</t>
        </is>
      </c>
      <c r="F38" s="16" t="inlineStr">
        <is>
          <t>In Progress</t>
        </is>
      </c>
      <c r="G38" s="16" t="inlineStr">
        <is>
          <t>Week 1</t>
        </is>
      </c>
      <c r="H38" s="14" t="n"/>
      <c r="I38" s="16" t="n"/>
      <c r="J38" s="16" t="n"/>
      <c r="K38" s="16" t="inlineStr">
        <is>
          <t>Cost/spending section in IPS</t>
        </is>
      </c>
      <c r="L38" s="16" t="inlineStr">
        <is>
          <t>High</t>
        </is>
      </c>
      <c r="M38" s="16" t="inlineStr">
        <is>
          <t>T3.02</t>
        </is>
      </c>
      <c r="N38" s="16" t="inlineStr">
        <is>
          <t>FJ M-N02 · D12 S/C approved; IPS write-up pending</t>
        </is>
      </c>
    </row>
    <row r="39" ht="36.75" customHeight="1" s="36">
      <c r="A39" s="8" t="inlineStr">
        <is>
          <t>T3.07</t>
        </is>
      </c>
      <c r="B39" s="8" t="inlineStr">
        <is>
          <t>T3</t>
        </is>
      </c>
      <c r="C39" s="16" t="inlineStr">
        <is>
          <t>Client mandate (investment policy)</t>
        </is>
      </c>
      <c r="D39" s="16" t="inlineStr">
        <is>
          <t>Rebalancing policy (frequency, drift band)</t>
        </is>
      </c>
      <c r="E39" s="16" t="inlineStr">
        <is>
          <t>Sujan</t>
        </is>
      </c>
      <c r="F39" s="16" t="inlineStr">
        <is>
          <t>Done</t>
        </is>
      </c>
      <c r="G39" s="16" t="inlineStr">
        <is>
          <t>Week 1</t>
        </is>
      </c>
      <c r="H39" s="14" t="n"/>
      <c r="I39" s="16" t="inlineStr">
        <is>
          <t>D11 approved; config</t>
        </is>
      </c>
      <c r="J39" s="16" t="n"/>
      <c r="K39" s="16" t="inlineStr">
        <is>
          <t>D11 approved; config</t>
        </is>
      </c>
      <c r="L39" s="16" t="inlineStr">
        <is>
          <t>High</t>
        </is>
      </c>
      <c r="M39" s="16" t="inlineStr">
        <is>
          <t>T3.01</t>
        </is>
      </c>
      <c r="N39" s="16" t="inlineStr">
        <is>
          <t>DEC D11 PROPOSED quarterly (used by D3 benchmark)</t>
        </is>
      </c>
    </row>
    <row r="40" ht="36.75" customHeight="1" s="36">
      <c r="A40" s="8" t="inlineStr">
        <is>
          <t>T3.08</t>
        </is>
      </c>
      <c r="B40" s="8" t="inlineStr">
        <is>
          <t>T3</t>
        </is>
      </c>
      <c r="C40" s="16" t="inlineStr">
        <is>
          <t>Client mandate (investment policy)</t>
        </is>
      </c>
      <c r="D40" s="16" t="inlineStr">
        <is>
          <t>Choose benchmarks: CAPM market proxy and policy benchmark</t>
        </is>
      </c>
      <c r="E40" s="16" t="inlineStr">
        <is>
          <t>Sujan</t>
        </is>
      </c>
      <c r="F40" s="16" t="inlineStr">
        <is>
          <t>Done</t>
        </is>
      </c>
      <c r="G40" s="16" t="inlineStr">
        <is>
          <t>Week 1</t>
        </is>
      </c>
      <c r="H40" s="14" t="n"/>
      <c r="I40" s="16" t="inlineStr">
        <is>
          <t>D3 approved; config</t>
        </is>
      </c>
      <c r="J40" s="16" t="n"/>
      <c r="K40" s="16" t="inlineStr">
        <is>
          <t>D3 approved; config</t>
        </is>
      </c>
      <c r="L40" s="16" t="inlineStr">
        <is>
          <t>Critical</t>
        </is>
      </c>
      <c r="M40" s="16" t="inlineStr">
        <is>
          <t>—</t>
        </is>
      </c>
      <c r="N40" s="16" t="inlineStr">
        <is>
          <t>DEC D3 · BR p.7</t>
        </is>
      </c>
    </row>
    <row r="41" ht="36.75" customHeight="1" s="36">
      <c r="A41" s="8" t="inlineStr">
        <is>
          <t>T3.09</t>
        </is>
      </c>
      <c r="B41" s="8" t="inlineStr">
        <is>
          <t>T3</t>
        </is>
      </c>
      <c r="C41" s="16" t="inlineStr">
        <is>
          <t>Client mandate (investment policy)</t>
        </is>
      </c>
      <c r="D41" s="16" t="inlineStr">
        <is>
          <t>Define suitability criteria used by the decision gate</t>
        </is>
      </c>
      <c r="E41" s="16" t="inlineStr">
        <is>
          <t>Sujan</t>
        </is>
      </c>
      <c r="F41" s="16" t="inlineStr">
        <is>
          <t>In Progress</t>
        </is>
      </c>
      <c r="G41" s="16" t="inlineStr">
        <is>
          <t>Week 1</t>
        </is>
      </c>
      <c r="H41" s="14" t="n"/>
      <c r="I41" s="16" t="n"/>
      <c r="J41" s="16" t="n"/>
      <c r="K41" s="16" t="inlineStr">
        <is>
          <t>Checklist: return hurdle, ES/DD limits, validation pass</t>
        </is>
      </c>
      <c r="L41" s="16" t="inlineStr">
        <is>
          <t>High</t>
        </is>
      </c>
      <c r="M41" s="16" t="inlineStr">
        <is>
          <t>T3.02, T3.04</t>
        </is>
      </c>
      <c r="N41" s="16" t="inlineStr">
        <is>
          <t>FJ VD08 · D7 + D12 define criteria; checklist pending</t>
        </is>
      </c>
    </row>
    <row r="42" ht="36.75" customHeight="1" s="36">
      <c r="A42" s="8" t="inlineStr">
        <is>
          <t>T3.10</t>
        </is>
      </c>
      <c r="B42" s="8" t="inlineStr">
        <is>
          <t>T3</t>
        </is>
      </c>
      <c r="C42" s="16" t="inlineStr">
        <is>
          <t>Client mandate (investment policy)</t>
        </is>
      </c>
      <c r="D42" s="16" t="inlineStr">
        <is>
          <t>Confirm no cash sleeve / derivatives; spending liquidity from AGG</t>
        </is>
      </c>
      <c r="E42" s="16" t="inlineStr">
        <is>
          <t>Sujan</t>
        </is>
      </c>
      <c r="F42" s="16" t="inlineStr">
        <is>
          <t>Done</t>
        </is>
      </c>
      <c r="G42" s="16" t="inlineStr">
        <is>
          <t>Week 1</t>
        </is>
      </c>
      <c r="H42" s="14" t="n"/>
      <c r="I42" s="16" t="inlineStr">
        <is>
          <t>D10 in IPS</t>
        </is>
      </c>
      <c r="J42" s="16" t="n"/>
      <c r="K42" s="16" t="inlineStr">
        <is>
          <t>D10 in IPS</t>
        </is>
      </c>
      <c r="L42" s="16" t="inlineStr">
        <is>
          <t>High</t>
        </is>
      </c>
      <c r="M42" s="16" t="inlineStr">
        <is>
          <t>—</t>
        </is>
      </c>
      <c r="N42" s="16" t="inlineStr">
        <is>
          <t>DEC D10</t>
        </is>
      </c>
    </row>
    <row r="43" ht="36.75" customHeight="1" s="36">
      <c r="A43" s="8" t="inlineStr">
        <is>
          <t>T3.11</t>
        </is>
      </c>
      <c r="B43" s="8" t="inlineStr">
        <is>
          <t>T3</t>
        </is>
      </c>
      <c r="C43" s="16" t="inlineStr">
        <is>
          <t>Client mandate (investment policy)</t>
        </is>
      </c>
      <c r="D43" s="16" t="inlineStr">
        <is>
          <t>Required-vs-expected return table (breakeven inflation, CAPM, income yield, history; ERP and withholding sensitivity)</t>
        </is>
      </c>
      <c r="E43" s="16" t="inlineStr">
        <is>
          <t>Sujan</t>
        </is>
      </c>
      <c r="F43" s="16" t="inlineStr">
        <is>
          <t>Done</t>
        </is>
      </c>
      <c r="G43" s="16" t="inlineStr">
        <is>
          <t>Week 1</t>
        </is>
      </c>
      <c r="H43" s="14" t="n"/>
      <c r="I43" s="16" t="inlineStr">
        <is>
          <t>outputs/tables/required_return_grid.csv, cma_assets.csv, required_vs_expected.csv</t>
        </is>
      </c>
      <c r="J43" s="16" t="n"/>
      <c r="K43" s="16" t="inlineStr">
        <is>
          <t>outputs/tables/required_return_grid.csv, cma_assets.csv, required_vs_expected.csv</t>
        </is>
      </c>
      <c r="L43" s="16" t="inlineStr">
        <is>
          <t>Critical</t>
        </is>
      </c>
      <c r="M43" s="16" t="inlineStr">
        <is>
          <t>T2.09, T2.14</t>
        </is>
      </c>
      <c r="N43" s="16" t="inlineStr">
        <is>
          <t>DEC D12</t>
        </is>
      </c>
    </row>
    <row r="44" ht="36.75" customHeight="1" s="36">
      <c r="A44" s="8" t="inlineStr">
        <is>
          <t>T3.12</t>
        </is>
      </c>
      <c r="B44" s="8" t="inlineStr">
        <is>
          <t>T3</t>
        </is>
      </c>
      <c r="C44" s="16" t="inlineStr">
        <is>
          <t>Client mandate (investment policy)</t>
        </is>
      </c>
      <c r="D44" s="16" t="inlineStr">
        <is>
          <t>Choose base ERP and risk-free assumption for expected returns (own-data ERP 9.7%, CI 3.5–15.8%, too wide to use alone)</t>
        </is>
      </c>
      <c r="E44" s="16" t="inlineStr">
        <is>
          <t>Sujan</t>
        </is>
      </c>
      <c r="F44" s="16" t="inlineStr">
        <is>
          <t>Done</t>
        </is>
      </c>
      <c r="G44" s="16" t="inlineStr">
        <is>
          <t>Week 1</t>
        </is>
      </c>
      <c r="H44" s="14" t="n"/>
      <c r="I44" s="16" t="inlineStr">
        <is>
          <t>ERP base + rf choice in DECISIONS.md</t>
        </is>
      </c>
      <c r="J44" s="16" t="n"/>
      <c r="K44" s="16" t="inlineStr">
        <is>
          <t>ERP base + rf choice in DECISIONS.md</t>
        </is>
      </c>
      <c r="L44" s="16" t="inlineStr">
        <is>
          <t>Critical</t>
        </is>
      </c>
      <c r="M44" s="16" t="inlineStr">
        <is>
          <t>T3.11</t>
        </is>
      </c>
      <c r="N44" s="16" t="inlineStr">
        <is>
          <t>DEC D12</t>
        </is>
      </c>
    </row>
    <row r="45" ht="36.75" customHeight="1" s="36">
      <c r="A45" s="8" t="inlineStr">
        <is>
          <t>T3.13</t>
        </is>
      </c>
      <c r="B45" s="8" t="inlineStr">
        <is>
          <t>T3</t>
        </is>
      </c>
      <c r="C45" s="16" t="inlineStr">
        <is>
          <t>Client mandate (investment policy)</t>
        </is>
      </c>
      <c r="D45" s="16" t="inlineStr">
        <is>
          <t>Confirm base spending rate, real growth and extra costs (S, G, C); cite the spending benchmark source</t>
        </is>
      </c>
      <c r="E45" s="16" t="inlineStr">
        <is>
          <t>All members</t>
        </is>
      </c>
      <c r="F45" s="16" t="inlineStr">
        <is>
          <t>Done</t>
        </is>
      </c>
      <c r="G45" s="16" t="inlineStr">
        <is>
          <t>Week 1</t>
        </is>
      </c>
      <c r="H45" s="14" t="n"/>
      <c r="I45" s="16" t="inlineStr">
        <is>
          <t>D12 values APPROVED</t>
        </is>
      </c>
      <c r="J45" s="16" t="n"/>
      <c r="K45" s="16" t="inlineStr">
        <is>
          <t>D12 values APPROVED</t>
        </is>
      </c>
      <c r="L45" s="16" t="inlineStr">
        <is>
          <t>Critical</t>
        </is>
      </c>
      <c r="M45" s="16" t="inlineStr">
        <is>
          <t>T3.11</t>
        </is>
      </c>
      <c r="N45" s="16" t="inlineStr">
        <is>
          <t>DEC D12</t>
        </is>
      </c>
    </row>
    <row r="46" ht="36.75" customHeight="1" s="36">
      <c r="A46" s="8" t="inlineStr">
        <is>
          <t>T3.15</t>
        </is>
      </c>
      <c r="B46" s="8" t="inlineStr">
        <is>
          <t>T3</t>
        </is>
      </c>
      <c r="C46" s="16" t="inlineStr">
        <is>
          <t>Client mandate (investment policy)</t>
        </is>
      </c>
      <c r="D46" s="16" t="inlineStr">
        <is>
          <t>Highest sustainable spending per portfolio + auto-generated one-page summary</t>
        </is>
      </c>
      <c r="E46" s="16" t="inlineStr">
        <is>
          <t>Sujan</t>
        </is>
      </c>
      <c r="F46" s="16" t="inlineStr">
        <is>
          <t>Done</t>
        </is>
      </c>
      <c r="G46" s="16" t="inlineStr">
        <is>
          <t>Week 1</t>
        </is>
      </c>
      <c r="H46" s="14" t="n"/>
      <c r="I46" s="16" t="inlineStr">
        <is>
          <t>outputs/reports/return_objective_summary.md</t>
        </is>
      </c>
      <c r="J46" s="16" t="n"/>
      <c r="K46" s="16" t="inlineStr">
        <is>
          <t>outputs/reports/return_objective_summary.md</t>
        </is>
      </c>
      <c r="L46" s="16" t="inlineStr">
        <is>
          <t>High</t>
        </is>
      </c>
      <c r="M46" s="16" t="inlineStr">
        <is>
          <t>T3.11</t>
        </is>
      </c>
      <c r="N46" s="16" t="inlineStr">
        <is>
          <t>DEC D12 (shortfall policy: lower spending)</t>
        </is>
      </c>
    </row>
    <row r="47" ht="36.75" customHeight="1" s="36">
      <c r="A47" s="8" t="inlineStr">
        <is>
          <t>T3.16</t>
        </is>
      </c>
      <c r="B47" s="8" t="inlineStr">
        <is>
          <t>T3</t>
        </is>
      </c>
      <c r="C47" s="16" t="inlineStr">
        <is>
          <t>Client mandate (investment policy)</t>
        </is>
      </c>
      <c r="D47" s="16" t="inlineStr">
        <is>
          <t>Revisit S, G, C and ERP after further team research; rerun and compare</t>
        </is>
      </c>
      <c r="E47" s="16" t="inlineStr">
        <is>
          <t>All members</t>
        </is>
      </c>
      <c r="F47" s="16" t="inlineStr">
        <is>
          <t>Not Started</t>
        </is>
      </c>
      <c r="G47" s="16" t="inlineStr">
        <is>
          <t>Week 1</t>
        </is>
      </c>
      <c r="H47" s="14" t="n"/>
      <c r="I47" s="16" t="n"/>
      <c r="J47" s="16" t="n"/>
      <c r="K47" s="16" t="inlineStr">
        <is>
          <t>Updated D12 values + summary</t>
        </is>
      </c>
      <c r="L47" s="16" t="inlineStr">
        <is>
          <t>Medium</t>
        </is>
      </c>
      <c r="M47" s="16" t="inlineStr">
        <is>
          <t>T3.13</t>
        </is>
      </c>
      <c r="N47" s="16" t="inlineStr">
        <is>
          <t>Team 2026-10-28</t>
        </is>
      </c>
    </row>
    <row r="48" ht="36.75" customHeight="1" s="36">
      <c r="A48" s="8" t="inlineStr">
        <is>
          <t>T3.17</t>
        </is>
      </c>
      <c r="B48" s="8" t="inlineStr">
        <is>
          <t>T3</t>
        </is>
      </c>
      <c r="C48" s="16" t="inlineStr">
        <is>
          <t>Client mandate (investment policy)</t>
        </is>
      </c>
      <c r="D48" s="16" t="inlineStr">
        <is>
          <t>Research and approve D3 benchmark structure</t>
        </is>
      </c>
      <c r="E48" s="16" t="inlineStr">
        <is>
          <t>All members</t>
        </is>
      </c>
      <c r="F48" s="16" t="inlineStr">
        <is>
          <t>Done</t>
        </is>
      </c>
      <c r="G48" s="16" t="inlineStr">
        <is>
          <t>Week 1</t>
        </is>
      </c>
      <c r="H48" s="14" t="n"/>
      <c r="I48" s="16" t="inlineStr">
        <is>
          <t>Research doc §1; D3 APPROVED</t>
        </is>
      </c>
      <c r="J48" s="16" t="n"/>
      <c r="K48" s="16" t="inlineStr">
        <is>
          <t>Research doc §1; D3 APPROVED</t>
        </is>
      </c>
      <c r="L48" s="16" t="inlineStr">
        <is>
          <t>Critical</t>
        </is>
      </c>
      <c r="M48" s="16" t="inlineStr">
        <is>
          <t>T3.11</t>
        </is>
      </c>
      <c r="N48" s="16" t="inlineStr">
        <is>
          <t>Research 2026-10-28 (analysis done, approval pending)</t>
        </is>
      </c>
    </row>
    <row r="49" ht="36.75" customHeight="1" s="36">
      <c r="A49" s="8" t="inlineStr">
        <is>
          <t>T3.18</t>
        </is>
      </c>
      <c r="B49" s="8" t="inlineStr">
        <is>
          <t>T3</t>
        </is>
      </c>
      <c r="C49" s="16" t="inlineStr">
        <is>
          <t>Client mandate (investment policy)</t>
        </is>
      </c>
      <c r="D49" s="16" t="inlineStr">
        <is>
          <t>Research and approve D7 provisional risk limits</t>
        </is>
      </c>
      <c r="E49" s="16" t="inlineStr">
        <is>
          <t>All members</t>
        </is>
      </c>
      <c r="F49" s="16" t="inlineStr">
        <is>
          <t>Done</t>
        </is>
      </c>
      <c r="G49" s="16" t="inlineStr">
        <is>
          <t>Week 1</t>
        </is>
      </c>
      <c r="H49" s="14" t="n"/>
      <c r="I49" s="16" t="inlineStr">
        <is>
          <t>Research doc §2/§4; D7 APPROVED</t>
        </is>
      </c>
      <c r="J49" s="16" t="n"/>
      <c r="K49" s="16" t="inlineStr">
        <is>
          <t>Research doc §2/§4; D7 APPROVED</t>
        </is>
      </c>
      <c r="L49" s="16" t="inlineStr">
        <is>
          <t>Critical</t>
        </is>
      </c>
      <c r="M49" s="16" t="inlineStr">
        <is>
          <t>T3.17</t>
        </is>
      </c>
      <c r="N49" s="16" t="inlineStr">
        <is>
          <t>Research 2026-10-28 (analysis done, approval pending)</t>
        </is>
      </c>
    </row>
    <row r="50" ht="36.75" customHeight="1" s="36">
      <c r="A50" s="8" t="inlineStr">
        <is>
          <t>T3.19</t>
        </is>
      </c>
      <c r="B50" s="8" t="inlineStr">
        <is>
          <t>T3</t>
        </is>
      </c>
      <c r="C50" s="16" t="inlineStr">
        <is>
          <t>Client mandate (investment policy)</t>
        </is>
      </c>
      <c r="D50" s="16" t="inlineStr">
        <is>
          <t>Committee choice on the drawdown ↔ spending trade-off (20% → 2.1%, 25% → 2.8%)</t>
        </is>
      </c>
      <c r="E50" s="16" t="inlineStr">
        <is>
          <t>All members</t>
        </is>
      </c>
      <c r="F50" s="16" t="inlineStr">
        <is>
          <t>Done</t>
        </is>
      </c>
      <c r="G50" s="16" t="inlineStr">
        <is>
          <t>Week 1</t>
        </is>
      </c>
      <c r="H50" s="14" t="n"/>
      <c r="I50" s="16" t="inlineStr">
        <is>
          <t>Recorded in D7/D12</t>
        </is>
      </c>
      <c r="J50" s="16" t="n"/>
      <c r="K50" s="16" t="inlineStr">
        <is>
          <t>Recorded in D7/D12</t>
        </is>
      </c>
      <c r="L50" s="16" t="inlineStr">
        <is>
          <t>Critical</t>
        </is>
      </c>
      <c r="M50" s="16" t="inlineStr">
        <is>
          <t>T3.18</t>
        </is>
      </c>
      <c r="N50" s="16" t="inlineStr">
        <is>
          <t>Research §4</t>
        </is>
      </c>
    </row>
    <row r="51" ht="36.75" customHeight="1" s="36">
      <c r="A51" s="8" t="inlineStr">
        <is>
          <t>T3.20</t>
        </is>
      </c>
      <c r="B51" s="8" t="inlineStr">
        <is>
          <t>T3</t>
        </is>
      </c>
      <c r="C51" s="16" t="inlineStr">
        <is>
          <t>Client mandate (investment policy)</t>
        </is>
      </c>
      <c r="D51" s="16" t="inlineStr">
        <is>
          <t>Fix model warnings: daily covariance, per-ETF withholding, risk-free scenarios, separate gold assessment</t>
        </is>
      </c>
      <c r="E51" s="16" t="inlineStr">
        <is>
          <t>Sujan</t>
        </is>
      </c>
      <c r="F51" s="16" t="inlineStr">
        <is>
          <t>Done</t>
        </is>
      </c>
      <c r="G51" s="16" t="inlineStr">
        <is>
          <t>Week 1</t>
        </is>
      </c>
      <c r="H51" s="14" t="n"/>
      <c r="I51" s="16" t="inlineStr">
        <is>
          <t>Research doc §7–§8; cma.py; 2 tests</t>
        </is>
      </c>
      <c r="J51" s="16" t="n"/>
      <c r="K51" s="16" t="inlineStr">
        <is>
          <t>Research doc §7–§8; cma.py; 2 tests</t>
        </is>
      </c>
      <c r="L51" s="16" t="inlineStr">
        <is>
          <t>Critical</t>
        </is>
      </c>
      <c r="M51" s="16" t="inlineStr">
        <is>
          <t>T3.11</t>
        </is>
      </c>
      <c r="N51" s="16" t="inlineStr">
        <is>
          <t>Team warnings 2026-10-28</t>
        </is>
      </c>
    </row>
    <row r="52" ht="36.75" customHeight="1" s="36">
      <c r="A52" s="8" t="inlineStr">
        <is>
          <t>T3.21</t>
        </is>
      </c>
      <c r="B52" s="8" t="inlineStr">
        <is>
          <t>T3</t>
        </is>
      </c>
      <c r="C52" s="16" t="inlineStr">
        <is>
          <t>Client mandate (investment policy)</t>
        </is>
      </c>
      <c r="D52" s="16" t="inlineStr">
        <is>
          <t>Risk tolerance approximation: willingness (mandate wording, peer losses) vs ability (capacity); tolerance = lower of the two</t>
        </is>
      </c>
      <c r="E52" s="16" t="inlineStr">
        <is>
          <t>Sujan</t>
        </is>
      </c>
      <c r="F52" s="16" t="inlineStr">
        <is>
          <t>Done</t>
        </is>
      </c>
      <c r="G52" s="16" t="inlineStr">
        <is>
          <t>Week 1</t>
        </is>
      </c>
      <c r="H52" s="14" t="n"/>
      <c r="I52" s="16" t="inlineStr">
        <is>
          <t>Tolerance statement in research doc §9 + IPS</t>
        </is>
      </c>
      <c r="J52" s="16" t="n"/>
      <c r="K52" s="16" t="inlineStr">
        <is>
          <t>Tolerance statement in research doc §9 + IPS</t>
        </is>
      </c>
      <c r="L52" s="16" t="inlineStr">
        <is>
          <t>Critical</t>
        </is>
      </c>
      <c r="M52" s="16" t="inlineStr">
        <is>
          <t>T3.22</t>
        </is>
      </c>
      <c r="N52" s="16" t="inlineStr">
        <is>
          <t>Team 2026-10-28 (12-factor review)</t>
        </is>
      </c>
    </row>
    <row r="53" ht="36.75" customHeight="1" s="36">
      <c r="A53" s="8" t="inlineStr">
        <is>
          <t>T3.22</t>
        </is>
      </c>
      <c r="B53" s="8" t="inlineStr">
        <is>
          <t>T3</t>
        </is>
      </c>
      <c r="C53" s="16" t="inlineStr">
        <is>
          <t>Client mandate (investment policy)</t>
        </is>
      </c>
      <c r="D53" s="16" t="inlineStr">
        <is>
          <t>Risk capacity: largest loss the fund can take while keeping spending and real value within floors (analytic + bootstrap with spending)</t>
        </is>
      </c>
      <c r="E53" s="16" t="inlineStr">
        <is>
          <t>Sujan</t>
        </is>
      </c>
      <c r="F53" s="16" t="inlineStr">
        <is>
          <t>Done</t>
        </is>
      </c>
      <c r="G53" s="16" t="inlineStr">
        <is>
          <t>Week 1</t>
        </is>
      </c>
      <c r="H53" s="14" t="n"/>
      <c r="I53" s="16" t="inlineStr">
        <is>
          <t>Capacity table by allocation</t>
        </is>
      </c>
      <c r="J53" s="16" t="n"/>
      <c r="K53" s="16" t="inlineStr">
        <is>
          <t>Capacity table by allocation</t>
        </is>
      </c>
      <c r="L53" s="16" t="inlineStr">
        <is>
          <t>Critical</t>
        </is>
      </c>
      <c r="M53" s="16" t="inlineStr">
        <is>
          <t>T3.11</t>
        </is>
      </c>
      <c r="N53" s="16" t="inlineStr">
        <is>
          <t>12-factor review #2</t>
        </is>
      </c>
    </row>
    <row r="54" ht="36.75" customHeight="1" s="36">
      <c r="A54" s="8" t="inlineStr">
        <is>
          <t>T3.23</t>
        </is>
      </c>
      <c r="B54" s="8" t="inlineStr">
        <is>
          <t>T3</t>
        </is>
      </c>
      <c r="C54" s="16" t="inlineStr">
        <is>
          <t>Client mandate (investment policy)</t>
        </is>
      </c>
      <c r="D54" s="16" t="inlineStr">
        <is>
          <t>Spending continuity after losses: fixed-real-dollar vs %-of-NAV vs smoothing rule over 5-year paths</t>
        </is>
      </c>
      <c r="E54" s="16" t="inlineStr">
        <is>
          <t>Sujan</t>
        </is>
      </c>
      <c r="F54" s="16" t="inlineStr">
        <is>
          <t>Done</t>
        </is>
      </c>
      <c r="G54" s="16" t="inlineStr">
        <is>
          <t>Week 1</t>
        </is>
      </c>
      <c r="H54" s="14" t="n"/>
      <c r="I54" s="16" t="inlineStr">
        <is>
          <t>Spending-rule comparison; proposed rule (D24)</t>
        </is>
      </c>
      <c r="J54" s="16" t="n"/>
      <c r="K54" s="16" t="inlineStr">
        <is>
          <t>Spending-rule comparison; proposed rule (D24)</t>
        </is>
      </c>
      <c r="L54" s="16" t="inlineStr">
        <is>
          <t>Critical</t>
        </is>
      </c>
      <c r="M54" s="16" t="inlineStr">
        <is>
          <t>T3.22</t>
        </is>
      </c>
      <c r="N54" s="16" t="inlineStr">
        <is>
          <t>12-factor review #3</t>
        </is>
      </c>
    </row>
    <row r="55" ht="36.75" customHeight="1" s="36">
      <c r="A55" s="8" t="inlineStr">
        <is>
          <t>T3.24</t>
        </is>
      </c>
      <c r="B55" s="8" t="inlineStr">
        <is>
          <t>T3</t>
        </is>
      </c>
      <c r="C55" s="16" t="inlineStr">
        <is>
          <t>Client mandate (investment policy)</t>
        </is>
      </c>
      <c r="D55" s="16" t="inlineStr">
        <is>
          <t>Recovery time after 10/15/20/25% losses: historical and forward (bootstrap)</t>
        </is>
      </c>
      <c r="E55" s="16" t="inlineStr">
        <is>
          <t>Dewmini</t>
        </is>
      </c>
      <c r="F55" s="16" t="inlineStr">
        <is>
          <t>Done</t>
        </is>
      </c>
      <c r="G55" s="16" t="inlineStr">
        <is>
          <t>Week 1</t>
        </is>
      </c>
      <c r="H55" s="14" t="n"/>
      <c r="I55" s="16" t="inlineStr">
        <is>
          <t>Recovery-time table</t>
        </is>
      </c>
      <c r="J55" s="16" t="n"/>
      <c r="K55" s="16" t="inlineStr">
        <is>
          <t>Recovery-time table</t>
        </is>
      </c>
      <c r="L55" s="16" t="inlineStr">
        <is>
          <t>High</t>
        </is>
      </c>
      <c r="M55" s="16" t="inlineStr">
        <is>
          <t>T6.12</t>
        </is>
      </c>
      <c r="N55" s="16" t="inlineStr">
        <is>
          <t>12-factor review #8</t>
        </is>
      </c>
    </row>
    <row r="56" ht="36.75" customHeight="1" s="36">
      <c r="A56" s="8" t="inlineStr">
        <is>
          <t>T3.25</t>
        </is>
      </c>
      <c r="B56" s="8" t="inlineStr">
        <is>
          <t>T3</t>
        </is>
      </c>
      <c r="C56" s="16" t="inlineStr">
        <is>
          <t>Client mandate (investment policy)</t>
        </is>
      </c>
      <c r="D56" s="16" t="inlineStr">
        <is>
          <t>Liquidity under stress: funding spending and rebalancing from AGG in a crisis (incl. 2008-10-10 discount)</t>
        </is>
      </c>
      <c r="E56" s="16" t="inlineStr">
        <is>
          <t>Raveena</t>
        </is>
      </c>
      <c r="F56" s="16" t="inlineStr">
        <is>
          <t>Done</t>
        </is>
      </c>
      <c r="G56" s="16" t="inlineStr">
        <is>
          <t>Week 1</t>
        </is>
      </c>
      <c r="H56" s="14" t="n"/>
      <c r="I56" s="16" t="inlineStr">
        <is>
          <t>Liquidity note with $ cost</t>
        </is>
      </c>
      <c r="J56" s="16" t="n"/>
      <c r="K56" s="16" t="inlineStr">
        <is>
          <t>Liquidity note with $ cost</t>
        </is>
      </c>
      <c r="L56" s="16" t="inlineStr">
        <is>
          <t>High</t>
        </is>
      </c>
      <c r="M56" s="16" t="inlineStr">
        <is>
          <t>T2.11</t>
        </is>
      </c>
      <c r="N56" s="16" t="inlineStr">
        <is>
          <t>12-factor review #10</t>
        </is>
      </c>
    </row>
    <row r="57" ht="36.75" customHeight="1" s="36">
      <c r="A57" s="8" t="inlineStr">
        <is>
          <t>T3.26</t>
        </is>
      </c>
      <c r="B57" s="8" t="inlineStr">
        <is>
          <t>T3</t>
        </is>
      </c>
      <c r="C57" s="16" t="inlineStr">
        <is>
          <t>Client mandate (investment policy)</t>
        </is>
      </c>
      <c r="D57" s="16" t="inlineStr">
        <is>
          <t>Losses beyond history: severity-scaled crisis replays (GFC ×1.25, ×1.5)</t>
        </is>
      </c>
      <c r="E57" s="16" t="inlineStr">
        <is>
          <t>Dewmini</t>
        </is>
      </c>
      <c r="F57" s="16" t="inlineStr">
        <is>
          <t>Done</t>
        </is>
      </c>
      <c r="G57" s="16" t="inlineStr">
        <is>
          <t>Week 1</t>
        </is>
      </c>
      <c r="H57" s="14" t="n"/>
      <c r="I57" s="16" t="inlineStr">
        <is>
          <t>Severe-scenario table; feeds D9</t>
        </is>
      </c>
      <c r="J57" s="16" t="n"/>
      <c r="K57" s="16" t="inlineStr">
        <is>
          <t>Severe-scenario table; feeds D9</t>
        </is>
      </c>
      <c r="L57" s="16" t="inlineStr">
        <is>
          <t>High</t>
        </is>
      </c>
      <c r="M57" s="16" t="inlineStr">
        <is>
          <t>T11.02</t>
        </is>
      </c>
      <c r="N57" s="16" t="inlineStr">
        <is>
          <t>12-factor review #11</t>
        </is>
      </c>
    </row>
    <row r="58" ht="36.75" customHeight="1" s="36">
      <c r="A58" s="8" t="inlineStr">
        <is>
          <t>T3.27</t>
        </is>
      </c>
      <c r="B58" s="8" t="inlineStr">
        <is>
          <t>T3</t>
        </is>
      </c>
      <c r="C58" s="16" t="inlineStr">
        <is>
          <t>Client mandate (investment policy)</t>
        </is>
      </c>
      <c r="D58" s="16" t="inlineStr">
        <is>
          <t>Drawdown monitoring and action ladder (amber / red / limit) for memo and app</t>
        </is>
      </c>
      <c r="E58" s="16" t="inlineStr">
        <is>
          <t>All members</t>
        </is>
      </c>
      <c r="F58" s="16" t="inlineStr">
        <is>
          <t>Done</t>
        </is>
      </c>
      <c r="G58" s="16" t="inlineStr">
        <is>
          <t>Week 1</t>
        </is>
      </c>
      <c r="H58" s="14" t="n"/>
      <c r="I58" s="16" t="inlineStr">
        <is>
          <t>D23 approved; ladder in config risk_limits.action_ladder</t>
        </is>
      </c>
      <c r="J58" s="16" t="n"/>
      <c r="K58" s="16" t="inlineStr">
        <is>
          <t>D23 approved; ladder in config risk_limits.action_ladder</t>
        </is>
      </c>
      <c r="L58" s="16" t="inlineStr">
        <is>
          <t>Critical</t>
        </is>
      </c>
      <c r="M58" s="16" t="inlineStr">
        <is>
          <t>T3.22</t>
        </is>
      </c>
      <c r="N58" s="16" t="inlineStr">
        <is>
          <t>12-factor review #12</t>
        </is>
      </c>
    </row>
    <row r="59" ht="36.75" customHeight="1" s="36">
      <c r="A59" s="8" t="inlineStr">
        <is>
          <t>T3.28</t>
        </is>
      </c>
      <c r="B59" s="8" t="inlineStr">
        <is>
          <t>T3</t>
        </is>
      </c>
      <c r="C59" s="16" t="inlineStr">
        <is>
          <t>Client mandate (investment policy)</t>
        </is>
      </c>
      <c r="D59" s="16" t="inlineStr">
        <is>
          <t>Re-confirm D7 (drawdown, VaR, ES limits) against tolerance and capacity results</t>
        </is>
      </c>
      <c r="E59" s="16" t="inlineStr">
        <is>
          <t>All members</t>
        </is>
      </c>
      <c r="F59" s="16" t="inlineStr">
        <is>
          <t>Done</t>
        </is>
      </c>
      <c r="G59" s="16" t="inlineStr">
        <is>
          <t>Week 1</t>
        </is>
      </c>
      <c r="H59" s="14" t="n"/>
      <c r="I59" s="16" t="inlineStr">
        <is>
          <t>D7 confirmed or revised</t>
        </is>
      </c>
      <c r="J59" s="16" t="n"/>
      <c r="K59" s="16" t="inlineStr">
        <is>
          <t>D7 confirmed or revised</t>
        </is>
      </c>
      <c r="L59" s="16" t="inlineStr">
        <is>
          <t>Critical</t>
        </is>
      </c>
      <c r="M59" s="16" t="inlineStr">
        <is>
          <t>T3.21–T3.27</t>
        </is>
      </c>
      <c r="N59" s="16" t="inlineStr">
        <is>
          <t>12-factor review</t>
        </is>
      </c>
    </row>
    <row r="60" ht="36.75" customHeight="1" s="36">
      <c r="A60" s="8" t="inlineStr">
        <is>
          <t>T3.29</t>
        </is>
      </c>
      <c r="B60" s="8" t="inlineStr">
        <is>
          <t>T3</t>
        </is>
      </c>
      <c r="C60" s="16" t="inlineStr">
        <is>
          <t>Client mandate (investment policy)</t>
        </is>
      </c>
      <c r="D60" s="16" t="inlineStr">
        <is>
          <t>Open question for committee: is 4% spending compulsory (fixed) or flexible? Memo shows both: fixed → disclosed real erosion ~0.6–1.2%/yr and capacity ~20%; flexible → move toward ~2.9% via D24</t>
        </is>
      </c>
      <c r="E60" s="16" t="inlineStr">
        <is>
          <t>All members</t>
        </is>
      </c>
      <c r="F60" s="16" t="inlineStr">
        <is>
          <t>Done</t>
        </is>
      </c>
      <c r="G60" s="16" t="inlineStr">
        <is>
          <t>Week 1</t>
        </is>
      </c>
      <c r="H60" s="14" t="n"/>
      <c r="I60" s="16" t="inlineStr">
        <is>
          <t>D30 APPROVED: flexible; glide to ~2.8–2.9% via D24 (no risk-limit increase)</t>
        </is>
      </c>
      <c r="J60" s="16" t="n"/>
      <c r="K60" s="16" t="inlineStr">
        <is>
          <t>D30 APPROVED: flexible; glide to ~2.8–2.9% via D24 (no risk-limit increase)</t>
        </is>
      </c>
      <c r="L60" s="16" t="inlineStr">
        <is>
          <t>Critical</t>
        </is>
      </c>
      <c r="M60" s="16" t="inlineStr">
        <is>
          <t>T4.11</t>
        </is>
      </c>
      <c r="N60" s="16" t="inlineStr">
        <is>
          <t>Team discussion 2026-10-29</t>
        </is>
      </c>
    </row>
    <row r="61" ht="36.75" customHeight="1" s="36">
      <c r="A61" s="8" t="inlineStr">
        <is>
          <t>T3.14</t>
        </is>
      </c>
      <c r="B61" s="8" t="inlineStr">
        <is>
          <t>T3</t>
        </is>
      </c>
      <c r="C61" s="16" t="inlineStr">
        <is>
          <t>Client mandate (investment policy)</t>
        </is>
      </c>
      <c r="D61" s="16" t="inlineStr">
        <is>
          <t>Tax assumption: tax-exempt base case, dividend withholding as sensitivity (check interest-related dividend exemption for AGG)</t>
        </is>
      </c>
      <c r="E61" s="16" t="inlineStr">
        <is>
          <t>Sujan</t>
        </is>
      </c>
      <c r="F61" s="16" t="inlineStr">
        <is>
          <t>Done</t>
        </is>
      </c>
      <c r="G61" s="16" t="inlineStr">
        <is>
          <t>Week 1</t>
        </is>
      </c>
      <c r="H61" s="14" t="n"/>
      <c r="I61" s="16" t="inlineStr">
        <is>
          <t>Note in IPS + limitations</t>
        </is>
      </c>
      <c r="J61" s="16" t="n"/>
      <c r="K61" s="16" t="inlineStr">
        <is>
          <t>Note in IPS + limitations</t>
        </is>
      </c>
      <c r="L61" s="16" t="inlineStr">
        <is>
          <t>Medium</t>
        </is>
      </c>
      <c r="M61" s="16" t="inlineStr">
        <is>
          <t>T3.11</t>
        </is>
      </c>
      <c r="N61" s="16" t="inlineStr">
        <is>
          <t>DEC D12</t>
        </is>
      </c>
    </row>
    <row r="62" ht="36.75" customHeight="1" s="36">
      <c r="A62" s="8" t="inlineStr">
        <is>
          <t>T4.01</t>
        </is>
      </c>
      <c r="B62" s="8" t="inlineStr">
        <is>
          <t>T4</t>
        </is>
      </c>
      <c r="C62" s="16" t="inlineStr">
        <is>
          <t>Portfolio construction and selection</t>
        </is>
      </c>
      <c r="D62" s="16" t="inlineStr">
        <is>
          <t>Estimate training returns, covariance matrix and correlations</t>
        </is>
      </c>
      <c r="E62" s="16" t="inlineStr">
        <is>
          <t>Dewmini</t>
        </is>
      </c>
      <c r="F62" s="16" t="inlineStr">
        <is>
          <t>Not Started</t>
        </is>
      </c>
      <c r="G62" s="16" t="inlineStr">
        <is>
          <t>Weeks 1–2</t>
        </is>
      </c>
      <c r="H62" s="14" t="n"/>
      <c r="I62" s="16" t="n"/>
      <c r="J62" s="16" t="n"/>
      <c r="K62" s="16" t="inlineStr">
        <is>
          <t>Training-window μ, Σ, ρ tables</t>
        </is>
      </c>
      <c r="L62" s="16" t="inlineStr">
        <is>
          <t>Critical</t>
        </is>
      </c>
      <c r="M62" s="16" t="inlineStr">
        <is>
          <t>T2.13</t>
        </is>
      </c>
      <c r="N62" s="16" t="inlineStr">
        <is>
          <t>PM · FJ PM01</t>
        </is>
      </c>
    </row>
    <row r="63" ht="36.75" customHeight="1" s="36">
      <c r="A63" s="8" t="inlineStr">
        <is>
          <t>T4.02</t>
        </is>
      </c>
      <c r="B63" s="8" t="inlineStr">
        <is>
          <t>T4</t>
        </is>
      </c>
      <c r="C63" s="16" t="inlineStr">
        <is>
          <t>Portfolio construction and selection</t>
        </is>
      </c>
      <c r="D63" s="16" t="inlineStr">
        <is>
          <t>Implement constrained minimum-variance allocation</t>
        </is>
      </c>
      <c r="E63" s="16" t="inlineStr">
        <is>
          <t>Dewmini</t>
        </is>
      </c>
      <c r="F63" s="16" t="inlineStr">
        <is>
          <t>Done</t>
        </is>
      </c>
      <c r="G63" s="16" t="inlineStr">
        <is>
          <t>Weeks 1–2</t>
        </is>
      </c>
      <c r="H63" s="14" t="n"/>
      <c r="I63" s="16" t="inlineStr">
        <is>
          <t>p1_*: min_variance</t>
        </is>
      </c>
      <c r="J63" s="16" t="n"/>
      <c r="K63" s="16" t="inlineStr">
        <is>
          <t>p1_*: min_variance</t>
        </is>
      </c>
      <c r="L63" s="16" t="inlineStr">
        <is>
          <t>Critical</t>
        </is>
      </c>
      <c r="M63" s="16" t="inlineStr">
        <is>
          <t>T4.08, T3.03</t>
        </is>
      </c>
      <c r="N63" s="16" t="inlineStr">
        <is>
          <t>PM · FJ PM02</t>
        </is>
      </c>
    </row>
    <row r="64" ht="36.75" customHeight="1" s="36">
      <c r="A64" s="8" t="inlineStr">
        <is>
          <t>T4.03</t>
        </is>
      </c>
      <c r="B64" s="8" t="inlineStr">
        <is>
          <t>T4</t>
        </is>
      </c>
      <c r="C64" s="16" t="inlineStr">
        <is>
          <t>Portfolio construction and selection</t>
        </is>
      </c>
      <c r="D64" s="16" t="inlineStr">
        <is>
          <t>Implement risk-parity allocation</t>
        </is>
      </c>
      <c r="E64" s="16" t="inlineStr">
        <is>
          <t>Dewmini</t>
        </is>
      </c>
      <c r="F64" s="16" t="inlineStr">
        <is>
          <t>Done</t>
        </is>
      </c>
      <c r="G64" s="16" t="inlineStr">
        <is>
          <t>Weeks 1–2</t>
        </is>
      </c>
      <c r="H64" s="14" t="n"/>
      <c r="I64" s="16" t="inlineStr">
        <is>
          <t>p1_*: risk_parity (ERC moved ≤ 1% to meet limits)</t>
        </is>
      </c>
      <c r="J64" s="16" t="n"/>
      <c r="K64" s="16" t="inlineStr">
        <is>
          <t>p1_*: risk_parity (ERC moved ≤ 1% to meet limits)</t>
        </is>
      </c>
      <c r="L64" s="16" t="inlineStr">
        <is>
          <t>Critical</t>
        </is>
      </c>
      <c r="M64" s="16" t="inlineStr">
        <is>
          <t>T4.08</t>
        </is>
      </c>
      <c r="N64" s="16" t="inlineStr">
        <is>
          <t>PM · FJ PM03</t>
        </is>
      </c>
    </row>
    <row r="65" ht="36.75" customHeight="1" s="36">
      <c r="A65" s="8" t="inlineStr">
        <is>
          <t>T4.04</t>
        </is>
      </c>
      <c r="B65" s="8" t="inlineStr">
        <is>
          <t>T4</t>
        </is>
      </c>
      <c r="C65" s="16" t="inlineStr">
        <is>
          <t>Portfolio construction and selection</t>
        </is>
      </c>
      <c r="D65" s="16" t="inlineStr">
        <is>
          <t>Implement capped maximum-Sharpe allocation</t>
        </is>
      </c>
      <c r="E65" s="16" t="inlineStr">
        <is>
          <t>Dewmini</t>
        </is>
      </c>
      <c r="F65" s="16" t="inlineStr">
        <is>
          <t>Done</t>
        </is>
      </c>
      <c r="G65" s="16" t="inlineStr">
        <is>
          <t>Weeks 1–2</t>
        </is>
      </c>
      <c r="H65" s="14" t="n"/>
      <c r="I65" s="16" t="inlineStr">
        <is>
          <t>p1_*: max_sharpe (homogenised)</t>
        </is>
      </c>
      <c r="J65" s="16" t="n"/>
      <c r="K65" s="16" t="inlineStr">
        <is>
          <t>p1_*: max_sharpe (homogenised)</t>
        </is>
      </c>
      <c r="L65" s="16" t="inlineStr">
        <is>
          <t>Critical</t>
        </is>
      </c>
      <c r="M65" s="16" t="inlineStr">
        <is>
          <t>T4.08, T3.03</t>
        </is>
      </c>
      <c r="N65" s="16" t="inlineStr">
        <is>
          <t>PM · FJ PM04</t>
        </is>
      </c>
    </row>
    <row r="66" ht="36.75" customHeight="1" s="36">
      <c r="A66" s="8" t="inlineStr">
        <is>
          <t>T4.05</t>
        </is>
      </c>
      <c r="B66" s="8" t="inlineStr">
        <is>
          <t>T4</t>
        </is>
      </c>
      <c r="C66" s="16" t="inlineStr">
        <is>
          <t>Portfolio construction and selection</t>
        </is>
      </c>
      <c r="D66" s="16" t="inlineStr">
        <is>
          <t>Document Markowitz/CAPM concepts and benchmark assumptions</t>
        </is>
      </c>
      <c r="E66" s="16" t="inlineStr">
        <is>
          <t>Dewmini</t>
        </is>
      </c>
      <c r="F66" s="16" t="inlineStr">
        <is>
          <t>Not Started</t>
        </is>
      </c>
      <c r="G66" s="16" t="inlineStr">
        <is>
          <t>Weeks 1–2</t>
        </is>
      </c>
      <c r="H66" s="14" t="n"/>
      <c r="I66" s="16" t="n"/>
      <c r="J66" s="16" t="n"/>
      <c r="K66" s="16" t="inlineStr">
        <is>
          <t>Methods section draft</t>
        </is>
      </c>
      <c r="L66" s="16" t="inlineStr">
        <is>
          <t>Critical</t>
        </is>
      </c>
      <c r="M66" s="16" t="inlineStr">
        <is>
          <t>T4.11</t>
        </is>
      </c>
      <c r="N66" s="16" t="inlineStr">
        <is>
          <t>PM · BR p.7</t>
        </is>
      </c>
    </row>
    <row r="67" ht="36.75" customHeight="1" s="36">
      <c r="A67" s="8" t="inlineStr">
        <is>
          <t>T4.06</t>
        </is>
      </c>
      <c r="B67" s="8" t="inlineStr">
        <is>
          <t>T4</t>
        </is>
      </c>
      <c r="C67" s="16" t="inlineStr">
        <is>
          <t>Portfolio construction and selection</t>
        </is>
      </c>
      <c r="D67" s="16" t="inlineStr">
        <is>
          <t>Compare diversification, concentration and feasible weights</t>
        </is>
      </c>
      <c r="E67" s="16" t="inlineStr">
        <is>
          <t>Dewmini</t>
        </is>
      </c>
      <c r="F67" s="16" t="inlineStr">
        <is>
          <t>Done</t>
        </is>
      </c>
      <c r="G67" s="16" t="inlineStr">
        <is>
          <t>Weeks 1–2</t>
        </is>
      </c>
      <c r="H67" s="14" t="n"/>
      <c r="I67" s="16" t="inlineStr">
        <is>
          <t>p1_*_diagnostics (risk contributions, equity weight) + research doc P1_candidates_and_kpis.md</t>
        </is>
      </c>
      <c r="J67" s="16" t="n"/>
      <c r="K67" s="16" t="inlineStr">
        <is>
          <t>p1_*_diagnostics (risk contributions, equity weight) + research doc P1_candidates_and_kpis.md</t>
        </is>
      </c>
      <c r="L67" s="16" t="inlineStr">
        <is>
          <t>Critical</t>
        </is>
      </c>
      <c r="M67" s="16" t="inlineStr">
        <is>
          <t>T4.02–T4.10</t>
        </is>
      </c>
      <c r="N67" s="16" t="inlineStr">
        <is>
          <t>PM · FJ PM07</t>
        </is>
      </c>
    </row>
    <row r="68" ht="36.75" customHeight="1" s="36">
      <c r="A68" s="8" t="inlineStr">
        <is>
          <t>T4.07</t>
        </is>
      </c>
      <c r="B68" s="8" t="inlineStr">
        <is>
          <t>T4</t>
        </is>
      </c>
      <c r="C68" s="16" t="inlineStr">
        <is>
          <t>Portfolio construction and selection</t>
        </is>
      </c>
      <c r="D68" s="16" t="inlineStr">
        <is>
          <t>Provide candidate and proposed final weights with justification</t>
        </is>
      </c>
      <c r="E68" s="16" t="inlineStr">
        <is>
          <t>Dewmini</t>
        </is>
      </c>
      <c r="F68" s="16" t="inlineStr">
        <is>
          <t>Not Started</t>
        </is>
      </c>
      <c r="G68" s="16" t="inlineStr">
        <is>
          <t>Weeks 1–2</t>
        </is>
      </c>
      <c r="H68" s="14" t="n"/>
      <c r="I68" s="16" t="n"/>
      <c r="J68" s="16" t="n"/>
      <c r="K68" s="16" t="inlineStr">
        <is>
          <t>Recommendation input for T20</t>
        </is>
      </c>
      <c r="L68" s="16" t="inlineStr">
        <is>
          <t>Critical</t>
        </is>
      </c>
      <c r="M68" s="16" t="inlineStr">
        <is>
          <t>T4.06, T5.05</t>
        </is>
      </c>
      <c r="N68" s="16" t="inlineStr">
        <is>
          <t>PM</t>
        </is>
      </c>
    </row>
    <row r="69" ht="36.75" customHeight="1" s="36">
      <c r="A69" s="8" t="inlineStr">
        <is>
          <t>T4.08</t>
        </is>
      </c>
      <c r="B69" s="8" t="inlineStr">
        <is>
          <t>T4</t>
        </is>
      </c>
      <c r="C69" s="16" t="inlineStr">
        <is>
          <t>Portfolio construction and selection</t>
        </is>
      </c>
      <c r="D69" s="16" t="inlineStr">
        <is>
          <t>Robust inputs: shrinkage covariance (Ledoit–Wolf), cautious expected returns</t>
        </is>
      </c>
      <c r="E69" s="16" t="inlineStr">
        <is>
          <t>Dewmini</t>
        </is>
      </c>
      <c r="F69" s="16" t="inlineStr">
        <is>
          <t>Done</t>
        </is>
      </c>
      <c r="G69" s="16" t="inlineStr">
        <is>
          <t>Weeks 1–2</t>
        </is>
      </c>
      <c r="H69" s="14" t="n"/>
      <c r="I69" s="16" t="inlineStr">
        <is>
          <t>cma.shrunk_covariance (Ledoit–Wolf on correlations); cma_*_cov_shrunk.csv; δ train 1.6% / full 0.8% / 1y 7% / 3m 18%; stability test (--shrink): turnover 1.61% → 1.57% a month; 2 tests</t>
        </is>
      </c>
      <c r="J69" s="16" t="n"/>
      <c r="K69" s="16" t="inlineStr">
        <is>
          <t>cma.shrunk_covariance (Ledoit–Wolf on correlations); cma_*_cov_shrunk.csv; δ train 1.6% / full 0.8% / 1y 7% / 3m 18%; stability test (--shrink): turnover 1.61% → 1.57% a month; 2 tests</t>
        </is>
      </c>
      <c r="L69" s="16" t="inlineStr">
        <is>
          <t>High</t>
        </is>
      </c>
      <c r="M69" s="16" t="inlineStr">
        <is>
          <t>T4.01</t>
        </is>
      </c>
      <c r="N69" s="16" t="inlineStr">
        <is>
          <t>FJ PM01/robust frontier · REV</t>
        </is>
      </c>
    </row>
    <row r="70" ht="36.75" customHeight="1" s="36">
      <c r="A70" s="8" t="inlineStr">
        <is>
          <t>T4.09</t>
        </is>
      </c>
      <c r="B70" s="8" t="inlineStr">
        <is>
          <t>T4</t>
        </is>
      </c>
      <c r="C70" s="16" t="inlineStr">
        <is>
          <t>Portfolio construction and selection</t>
        </is>
      </c>
      <c r="D70" s="16" t="inlineStr">
        <is>
          <t>Implement minimum-CVaR allocation (Rockafellar–Uryasev)</t>
        </is>
      </c>
      <c r="E70" s="16" t="inlineStr">
        <is>
          <t>Dewmini</t>
        </is>
      </c>
      <c r="F70" s="16" t="inlineStr">
        <is>
          <t>Done</t>
        </is>
      </c>
      <c r="G70" s="16" t="inlineStr">
        <is>
          <t>Weeks 1–2</t>
        </is>
      </c>
      <c r="H70" s="14" t="n"/>
      <c r="I70" s="16" t="inlineStr">
        <is>
          <t>p1_*: min_cvar (CVaR LP)</t>
        </is>
      </c>
      <c r="J70" s="16" t="n"/>
      <c r="K70" s="16" t="inlineStr">
        <is>
          <t>p1_*: min_cvar (CVaR LP)</t>
        </is>
      </c>
      <c r="L70" s="16" t="inlineStr">
        <is>
          <t>High</t>
        </is>
      </c>
      <c r="M70" s="16" t="inlineStr">
        <is>
          <t>T4.08</t>
        </is>
      </c>
      <c r="N70" s="16" t="inlineStr">
        <is>
          <t>DEC D20</t>
        </is>
      </c>
    </row>
    <row r="71" ht="36.75" customHeight="1" s="36">
      <c r="A71" s="8" t="inlineStr">
        <is>
          <t>T4.10</t>
        </is>
      </c>
      <c r="B71" s="8" t="inlineStr">
        <is>
          <t>T4</t>
        </is>
      </c>
      <c r="C71" s="16" t="inlineStr">
        <is>
          <t>Portfolio construction and selection</t>
        </is>
      </c>
      <c r="D71" s="16" t="inlineStr">
        <is>
          <t>Implement target-return Markowitz at the D12 hurdle (minimum 6.66% / target 7.19%) with fallback to lowest-risk feasible portfolio</t>
        </is>
      </c>
      <c r="E71" s="16" t="inlineStr">
        <is>
          <t>Dewmini</t>
        </is>
      </c>
      <c r="F71" s="16" t="inlineStr">
        <is>
          <t>Done</t>
        </is>
      </c>
      <c r="G71" s="16" t="inlineStr">
        <is>
          <t>Weeks 1–2</t>
        </is>
      </c>
      <c r="H71" s="14" t="n"/>
      <c r="I71" s="16" t="inlineStr">
        <is>
          <t>p1_*: target_return (fallback per D12)</t>
        </is>
      </c>
      <c r="J71" s="16" t="n"/>
      <c r="K71" s="16" t="inlineStr">
        <is>
          <t>p1_*: target_return (fallback per D12)</t>
        </is>
      </c>
      <c r="L71" s="16" t="inlineStr">
        <is>
          <t>High</t>
        </is>
      </c>
      <c r="M71" s="16" t="inlineStr">
        <is>
          <t>T4.08, T4.18</t>
        </is>
      </c>
      <c r="N71" s="16" t="inlineStr">
        <is>
          <t>FJ PM05</t>
        </is>
      </c>
    </row>
    <row r="72" ht="36.75" customHeight="1" s="36">
      <c r="A72" s="8" t="inlineStr">
        <is>
          <t>T4.11</t>
        </is>
      </c>
      <c r="B72" s="8" t="inlineStr">
        <is>
          <t>T4</t>
        </is>
      </c>
      <c r="C72" s="16" t="inlineStr">
        <is>
          <t>Portfolio construction and selection</t>
        </is>
      </c>
      <c r="D72" s="16" t="inlineStr">
        <is>
          <t>Efficient frontier with candidates and benchmarks plotted; trade-off table</t>
        </is>
      </c>
      <c r="E72" s="16" t="inlineStr">
        <is>
          <t>Dewmini</t>
        </is>
      </c>
      <c r="F72" s="16" t="inlineStr">
        <is>
          <t>Done</t>
        </is>
      </c>
      <c r="G72" s="16" t="inlineStr">
        <is>
          <t>Weeks 1–2</t>
        </is>
      </c>
      <c r="H72" s="14" t="n"/>
      <c r="I72" s="16" t="inlineStr">
        <is>
          <t>outputs/tables/frontier_full.csv (9 points: return, DD, ES, VaR, P(DD&gt;25%), spending $), outputs/figures/frontier_full.png</t>
        </is>
      </c>
      <c r="J72" s="16" t="n"/>
      <c r="K72" s="16" t="inlineStr">
        <is>
          <t>outputs/tables/frontier_full.csv (9 points: return, DD, ES, VaR, P(DD&gt;25%), spending $), outputs/figures/frontier_full.png</t>
        </is>
      </c>
      <c r="L72" s="16" t="inlineStr">
        <is>
          <t>Critical</t>
        </is>
      </c>
      <c r="M72" s="16" t="inlineStr">
        <is>
          <t>T4.02–T4.10</t>
        </is>
      </c>
      <c r="N72" s="16" t="inlineStr">
        <is>
          <t>BR p.4 #5 · R16</t>
        </is>
      </c>
    </row>
    <row r="73" ht="36.75" customHeight="1" s="36">
      <c r="A73" s="8" t="inlineStr">
        <is>
          <t>T4.12</t>
        </is>
      </c>
      <c r="B73" s="8" t="inlineStr">
        <is>
          <t>T4</t>
        </is>
      </c>
      <c r="C73" s="16" t="inlineStr">
        <is>
          <t>Portfolio construction and selection</t>
        </is>
      </c>
      <c r="D73" s="16" t="inlineStr">
        <is>
          <t>Feasibility filters: D6 v2 layers (equity 20–45%, GLD ≤ 20%, ≤ 2× benchmark, sector tilts) + D7 limits</t>
        </is>
      </c>
      <c r="E73" s="16" t="inlineStr">
        <is>
          <t>Dewmini</t>
        </is>
      </c>
      <c r="F73" s="16" t="inlineStr">
        <is>
          <t>Done</t>
        </is>
      </c>
      <c r="G73" s="16" t="inlineStr">
        <is>
          <t>Weeks 1–2</t>
        </is>
      </c>
      <c r="H73" s="14" t="n"/>
      <c r="I73" s="16" t="inlineStr">
        <is>
          <t>D6 v2 + D7 in optimiser; post-check on compounded quarterly NAV</t>
        </is>
      </c>
      <c r="J73" s="16" t="n"/>
      <c r="K73" s="16" t="inlineStr">
        <is>
          <t>D6 v2 + D7 in optimiser; post-check on compounded quarterly NAV</t>
        </is>
      </c>
      <c r="L73" s="16" t="inlineStr">
        <is>
          <t>Critical</t>
        </is>
      </c>
      <c r="M73" s="16" t="inlineStr">
        <is>
          <t>T4.02–T4.10</t>
        </is>
      </c>
      <c r="N73" s="16" t="inlineStr">
        <is>
          <t>FJ PM06</t>
        </is>
      </c>
    </row>
    <row r="74" ht="36.75" customHeight="1" s="36">
      <c r="A74" s="8" t="inlineStr">
        <is>
          <t>T4.13</t>
        </is>
      </c>
      <c r="B74" s="8" t="inlineStr">
        <is>
          <t>T4</t>
        </is>
      </c>
      <c r="C74" s="16" t="inlineStr">
        <is>
          <t>Portfolio construction and selection</t>
        </is>
      </c>
      <c r="D74" s="16" t="inlineStr">
        <is>
          <t>Net-of-cost and turnover test under chosen rebalancing</t>
        </is>
      </c>
      <c r="E74" s="16" t="inlineStr">
        <is>
          <t>Dewmini</t>
        </is>
      </c>
      <c r="F74" s="16" t="inlineStr">
        <is>
          <t>Not Started</t>
        </is>
      </c>
      <c r="G74" s="16" t="inlineStr">
        <is>
          <t>Weeks 1–2</t>
        </is>
      </c>
      <c r="H74" s="14" t="n"/>
      <c r="I74" s="16" t="n"/>
      <c r="J74" s="16" t="n"/>
      <c r="K74" s="16" t="inlineStr">
        <is>
          <t>Turnover, cost drag per candidate</t>
        </is>
      </c>
      <c r="L74" s="16" t="inlineStr">
        <is>
          <t>Medium</t>
        </is>
      </c>
      <c r="M74" s="16" t="inlineStr">
        <is>
          <t>T3.06, T3.07</t>
        </is>
      </c>
      <c r="N74" s="16" t="inlineStr">
        <is>
          <t>FJ PM-N03</t>
        </is>
      </c>
    </row>
    <row r="75" ht="36.75" customHeight="1" s="36">
      <c r="A75" s="8" t="inlineStr">
        <is>
          <t>T4.14</t>
        </is>
      </c>
      <c r="B75" s="8" t="inlineStr">
        <is>
          <t>T4</t>
        </is>
      </c>
      <c r="C75" s="16" t="inlineStr">
        <is>
          <t>Portfolio construction and selection</t>
        </is>
      </c>
      <c r="D75" s="16" t="inlineStr">
        <is>
          <t>Diversification metrics: diversification ratio, risk contribution vs weight</t>
        </is>
      </c>
      <c r="E75" s="16" t="inlineStr">
        <is>
          <t>Dewmini</t>
        </is>
      </c>
      <c r="F75" s="16" t="inlineStr">
        <is>
          <t>Not Started</t>
        </is>
      </c>
      <c r="G75" s="16" t="inlineStr">
        <is>
          <t>Weeks 1–2</t>
        </is>
      </c>
      <c r="H75" s="14" t="n"/>
      <c r="I75" s="16" t="n"/>
      <c r="J75" s="16" t="n"/>
      <c r="K75" s="16" t="inlineStr">
        <is>
          <t>Diversification table</t>
        </is>
      </c>
      <c r="L75" s="16" t="inlineStr">
        <is>
          <t>High</t>
        </is>
      </c>
      <c r="M75" s="16" t="inlineStr">
        <is>
          <t>T4.12</t>
        </is>
      </c>
      <c r="N75" s="16" t="inlineStr">
        <is>
          <t>BR p.4 'diversification benefits'</t>
        </is>
      </c>
    </row>
    <row r="76" ht="36.75" customHeight="1" s="36">
      <c r="A76" s="8" t="inlineStr">
        <is>
          <t>T4.15</t>
        </is>
      </c>
      <c r="B76" s="8" t="inlineStr">
        <is>
          <t>T4</t>
        </is>
      </c>
      <c r="C76" s="16" t="inlineStr">
        <is>
          <t>Portfolio construction and selection</t>
        </is>
      </c>
      <c r="D76" s="16" t="inlineStr">
        <is>
          <t>Weight sensitivity to input changes (sub-period / bootstrap re-estimation)</t>
        </is>
      </c>
      <c r="E76" s="16" t="inlineStr">
        <is>
          <t>Dewmini</t>
        </is>
      </c>
      <c r="F76" s="16" t="inlineStr">
        <is>
          <t>Not Started</t>
        </is>
      </c>
      <c r="G76" s="16" t="inlineStr">
        <is>
          <t>Weeks 1–2</t>
        </is>
      </c>
      <c r="H76" s="14" t="n"/>
      <c r="I76" s="16" t="n"/>
      <c r="J76" s="16" t="n"/>
      <c r="K76" s="16" t="inlineStr">
        <is>
          <t>Weight stability table</t>
        </is>
      </c>
      <c r="L76" s="16" t="inlineStr">
        <is>
          <t>Medium</t>
        </is>
      </c>
      <c r="M76" s="16" t="inlineStr">
        <is>
          <t>T4.12</t>
        </is>
      </c>
      <c r="N76" s="16" t="inlineStr">
        <is>
          <t>FJ robust frontier</t>
        </is>
      </c>
    </row>
    <row r="77" ht="36.75" customHeight="1" s="36">
      <c r="A77" s="8" t="inlineStr">
        <is>
          <t>T4.16</t>
        </is>
      </c>
      <c r="B77" s="8" t="inlineStr">
        <is>
          <t>T4</t>
        </is>
      </c>
      <c r="C77" s="16" t="inlineStr">
        <is>
          <t>Portfolio construction and selection</t>
        </is>
      </c>
      <c r="D77" s="16" t="inlineStr">
        <is>
          <t>Freeze P1 handoff: candidate weights + metadata file</t>
        </is>
      </c>
      <c r="E77" s="16" t="inlineStr">
        <is>
          <t>Dewmini</t>
        </is>
      </c>
      <c r="F77" s="16" t="inlineStr">
        <is>
          <t>Done</t>
        </is>
      </c>
      <c r="G77" s="16" t="inlineStr">
        <is>
          <t>Weeks 1–2</t>
        </is>
      </c>
      <c r="H77" s="14" t="n"/>
      <c r="I77" s="16" t="inlineStr">
        <is>
          <t>outputs/tables/p1_*_weights.csv (regenerated by run_all)</t>
        </is>
      </c>
      <c r="J77" s="16" t="n"/>
      <c r="K77" s="16" t="inlineStr">
        <is>
          <t>outputs/tables/p1_*_weights.csv (regenerated by run_all)</t>
        </is>
      </c>
      <c r="L77" s="16" t="inlineStr">
        <is>
          <t>Critical</t>
        </is>
      </c>
      <c r="M77" s="16" t="inlineStr">
        <is>
          <t>T4.12</t>
        </is>
      </c>
      <c r="N77" s="16" t="inlineStr">
        <is>
          <t>FJ PM08</t>
        </is>
      </c>
    </row>
    <row r="78" ht="36.75" customHeight="1" s="36">
      <c r="A78" s="8" t="inlineStr">
        <is>
          <t>T4.17</t>
        </is>
      </c>
      <c r="B78" s="8" t="inlineStr">
        <is>
          <t>T4</t>
        </is>
      </c>
      <c r="C78" s="16" t="inlineStr">
        <is>
          <t>Portfolio construction and selection</t>
        </is>
      </c>
      <c r="D78" s="16" t="inlineStr">
        <is>
          <t>Unit tests for all optimisers (constraints respected, known solutions)</t>
        </is>
      </c>
      <c r="E78" s="16" t="inlineStr">
        <is>
          <t>Dewmini</t>
        </is>
      </c>
      <c r="F78" s="16" t="inlineStr">
        <is>
          <t>Done</t>
        </is>
      </c>
      <c r="G78" s="16" t="inlineStr">
        <is>
          <t>Weeks 1–2</t>
        </is>
      </c>
      <c r="H78" s="14" t="n"/>
      <c r="I78" s="16" t="inlineStr">
        <is>
          <t>tests/unit/test_optimise.py (7) + integration</t>
        </is>
      </c>
      <c r="J78" s="16" t="n"/>
      <c r="K78" s="16" t="inlineStr">
        <is>
          <t>tests/unit/test_optimise.py (7) + integration</t>
        </is>
      </c>
      <c r="L78" s="16" t="inlineStr">
        <is>
          <t>Critical</t>
        </is>
      </c>
      <c r="M78" s="16" t="inlineStr">
        <is>
          <t>T4.02–T4.10</t>
        </is>
      </c>
      <c r="N78" s="16" t="inlineStr">
        <is>
          <t>BR p.6 software</t>
        </is>
      </c>
    </row>
    <row r="79" ht="36.75" customHeight="1" s="36">
      <c r="A79" s="8" t="inlineStr">
        <is>
          <t>T4.18</t>
        </is>
      </c>
      <c r="B79" s="8" t="inlineStr">
        <is>
          <t>T4</t>
        </is>
      </c>
      <c r="C79" s="16" t="inlineStr">
        <is>
          <t>Portfolio construction and selection</t>
        </is>
      </c>
      <c r="D79" s="16" t="inlineStr">
        <is>
          <t>Capital market assumptions estimated on the training window only, for out-of-sample candidates</t>
        </is>
      </c>
      <c r="E79" s="16" t="inlineStr">
        <is>
          <t>Dewmini</t>
        </is>
      </c>
      <c r="F79" s="16" t="inlineStr">
        <is>
          <t>Done</t>
        </is>
      </c>
      <c r="G79" s="16" t="inlineStr">
        <is>
          <t>Weeks 1–2</t>
        </is>
      </c>
      <c r="H79" s="14" t="n"/>
      <c r="I79" s="16" t="inlineStr">
        <is>
          <t>cma.estimate_as_of; outputs/tables/cma_train*.csv, cma_full*.csv, cma_sets_summary.csv; 4 tests incl. leakage</t>
        </is>
      </c>
      <c r="J79" s="16" t="n"/>
      <c r="K79" s="16" t="inlineStr">
        <is>
          <t>cma.estimate_as_of; outputs/tables/cma_train*.csv, cma_full*.csv, cma_sets_summary.csv; 4 tests incl. leakage</t>
        </is>
      </c>
      <c r="L79" s="16" t="inlineStr">
        <is>
          <t>Critical</t>
        </is>
      </c>
      <c r="M79" s="16" t="inlineStr">
        <is>
          <t>T2.13</t>
        </is>
      </c>
      <c r="N79" s="16" t="inlineStr">
        <is>
          <t>Review: current CMA uses full sample</t>
        </is>
      </c>
    </row>
    <row r="80" ht="36.75" customHeight="1" s="36">
      <c r="A80" s="8" t="inlineStr">
        <is>
          <t>T4.19</t>
        </is>
      </c>
      <c r="B80" s="8" t="inlineStr">
        <is>
          <t>T4</t>
        </is>
      </c>
      <c r="C80" s="16" t="inlineStr">
        <is>
          <t>Portfolio construction and selection</t>
        </is>
      </c>
      <c r="D80" s="16" t="inlineStr">
        <is>
          <t>Produce two P1 sets: P1-train (frozen, for OOS backtests) and P1-final (full-sample re-fit, same frozen method)</t>
        </is>
      </c>
      <c r="E80" s="16" t="inlineStr">
        <is>
          <t>Dewmini</t>
        </is>
      </c>
      <c r="F80" s="16" t="inlineStr">
        <is>
          <t>Done</t>
        </is>
      </c>
      <c r="G80" s="16" t="inlineStr">
        <is>
          <t>Weeks 1–2</t>
        </is>
      </c>
      <c r="H80" s="14" t="n"/>
      <c r="I80" s="16" t="inlineStr">
        <is>
          <t>p1_train_* and p1_final_*</t>
        </is>
      </c>
      <c r="J80" s="16" t="n"/>
      <c r="K80" s="16" t="inlineStr">
        <is>
          <t>p1_train_* and p1_final_*</t>
        </is>
      </c>
      <c r="L80" s="16" t="inlineStr">
        <is>
          <t>Critical</t>
        </is>
      </c>
      <c r="M80" s="16" t="inlineStr">
        <is>
          <t>T4.16, T4.18</t>
        </is>
      </c>
      <c r="N80" s="16" t="inlineStr">
        <is>
          <t>DEC D5 protocol</t>
        </is>
      </c>
    </row>
    <row r="81" ht="36.75" customHeight="1" s="36">
      <c r="A81" s="8" t="inlineStr">
        <is>
          <t>T4.20</t>
        </is>
      </c>
      <c r="B81" s="8" t="inlineStr">
        <is>
          <t>T4</t>
        </is>
      </c>
      <c r="C81" s="16" t="inlineStr">
        <is>
          <t>Portfolio construction and selection</t>
        </is>
      </c>
      <c r="D81" s="16" t="inlineStr">
        <is>
          <t>Optimiser design meeting D6 v2 + D7 (ES as CVaR constraint; drawdown via CDaR or post-check)</t>
        </is>
      </c>
      <c r="E81" s="16" t="inlineStr">
        <is>
          <t>Dewmini</t>
        </is>
      </c>
      <c r="F81" s="16" t="inlineStr">
        <is>
          <t>Done</t>
        </is>
      </c>
      <c r="G81" s="16" t="inlineStr">
        <is>
          <t>Weeks 1–2</t>
        </is>
      </c>
      <c r="H81" s="14" t="n"/>
      <c r="I81" s="16" t="inlineStr">
        <is>
          <t>portfolio/optimise.py: CVaR LP + CDaR(β→1) + bisection post-check</t>
        </is>
      </c>
      <c r="J81" s="16" t="n"/>
      <c r="K81" s="16" t="inlineStr">
        <is>
          <t>portfolio/optimise.py: CVaR LP + CDaR(β→1) + bisection post-check</t>
        </is>
      </c>
      <c r="L81" s="16" t="inlineStr">
        <is>
          <t>Critical</t>
        </is>
      </c>
      <c r="M81" s="16" t="inlineStr">
        <is>
          <t>T4.12</t>
        </is>
      </c>
      <c r="N81" s="16" t="inlineStr">
        <is>
          <t>Review 2026-10-28</t>
        </is>
      </c>
    </row>
    <row r="82" ht="36.75" customHeight="1" s="36">
      <c r="A82" s="8" t="inlineStr">
        <is>
          <t>T4.21</t>
        </is>
      </c>
      <c r="B82" s="8" t="inlineStr">
        <is>
          <t>T4</t>
        </is>
      </c>
      <c r="C82" s="16" t="inlineStr">
        <is>
          <t>Portfolio construction and selection</t>
        </is>
      </c>
      <c r="D82" s="16" t="inlineStr">
        <is>
          <t>Add every candidate to the required-vs-expected table with sustainable spending</t>
        </is>
      </c>
      <c r="E82" s="16" t="inlineStr">
        <is>
          <t>Dewmini</t>
        </is>
      </c>
      <c r="F82" s="16" t="inlineStr">
        <is>
          <t>Not Started</t>
        </is>
      </c>
      <c r="G82" s="16" t="inlineStr">
        <is>
          <t>Weeks 1–2</t>
        </is>
      </c>
      <c r="H82" s="14" t="n"/>
      <c r="I82" s="16" t="n"/>
      <c r="J82" s="16" t="n"/>
      <c r="K82" s="16" t="inlineStr">
        <is>
          <t>Extended return_objective_summary.md</t>
        </is>
      </c>
      <c r="L82" s="16" t="inlineStr">
        <is>
          <t>High</t>
        </is>
      </c>
      <c r="M82" s="16" t="inlineStr">
        <is>
          <t>T4.16</t>
        </is>
      </c>
      <c r="N82" s="16" t="inlineStr">
        <is>
          <t>DEC D12</t>
        </is>
      </c>
    </row>
    <row r="83" ht="36.75" customHeight="1" s="36">
      <c r="A83" s="8" t="inlineStr">
        <is>
          <t>T4.22</t>
        </is>
      </c>
      <c r="B83" s="8" t="inlineStr">
        <is>
          <t>T4</t>
        </is>
      </c>
      <c r="C83" s="16" t="inlineStr">
        <is>
          <t>Portfolio construction and selection</t>
        </is>
      </c>
      <c r="D83" s="16" t="inlineStr">
        <is>
          <t>Decide bond expected-return method for near-zero rates (D25) and apply to both CMA sets</t>
        </is>
      </c>
      <c r="E83" s="16" t="inlineStr">
        <is>
          <t>All members</t>
        </is>
      </c>
      <c r="F83" s="16" t="inlineStr">
        <is>
          <t>Done</t>
        </is>
      </c>
      <c r="G83" s="16" t="inlineStr">
        <is>
          <t>Weeks 1–2</t>
        </is>
      </c>
      <c r="H83" s="14" t="n"/>
      <c r="I83" s="16" t="inlineStr">
        <is>
          <t>D25 approved; cma.expected_returns applied to both CMA sets, D12 tables, research; 1 test; research doc §8b</t>
        </is>
      </c>
      <c r="J83" s="16" t="n"/>
      <c r="K83" s="16" t="inlineStr">
        <is>
          <t>D25 approved; cma.expected_returns applied to both CMA sets, D12 tables, research; 1 test; research doc §8b</t>
        </is>
      </c>
      <c r="L83" s="16" t="inlineStr">
        <is>
          <t>Critical</t>
        </is>
      </c>
      <c r="M83" s="16" t="inlineStr">
        <is>
          <t>T4.18</t>
        </is>
      </c>
      <c r="N83" s="16" t="inlineStr">
        <is>
          <t>T4.18 finding</t>
        </is>
      </c>
    </row>
    <row r="84" ht="36.75" customHeight="1" s="36">
      <c r="A84" s="8" t="inlineStr">
        <is>
          <t>T4.23</t>
        </is>
      </c>
      <c r="B84" s="8" t="inlineStr">
        <is>
          <t>T4</t>
        </is>
      </c>
      <c r="C84" s="16" t="inlineStr">
        <is>
          <t>Portfolio construction and selection</t>
        </is>
      </c>
      <c r="D84" s="16" t="inlineStr">
        <is>
          <t>Required return in training-period terms (2014 breakeven, same S/G/C) for P1-train return targets</t>
        </is>
      </c>
      <c r="E84" s="16" t="inlineStr">
        <is>
          <t>Dewmini</t>
        </is>
      </c>
      <c r="F84" s="16" t="inlineStr">
        <is>
          <t>Done</t>
        </is>
      </c>
      <c r="G84" s="16" t="inlineStr">
        <is>
          <t>Weeks 1–2</t>
        </is>
      </c>
      <c r="H84" s="14" t="n"/>
      <c r="I84" s="16" t="inlineStr">
        <is>
          <t>return_objective.required_return_as_of; cma_sets_summary.csv: train 6.49% / 5.96% (breakeven 1.68%), full 7.19% / 6.66%; 2 tests</t>
        </is>
      </c>
      <c r="J84" s="16" t="n"/>
      <c r="K84" s="16" t="inlineStr">
        <is>
          <t>return_objective.required_return_as_of; cma_sets_summary.csv: train 6.49% / 5.96% (breakeven 1.68%), full 7.19% / 6.66%; 2 tests</t>
        </is>
      </c>
      <c r="L84" s="16" t="inlineStr">
        <is>
          <t>High</t>
        </is>
      </c>
      <c r="M84" s="16" t="inlineStr">
        <is>
          <t>T4.18</t>
        </is>
      </c>
      <c r="N84" s="16" t="inlineStr">
        <is>
          <t>D5 + D12 consistency</t>
        </is>
      </c>
    </row>
    <row r="85" ht="36.75" customHeight="1" s="36">
      <c r="A85" s="8" t="inlineStr">
        <is>
          <t>T4.24</t>
        </is>
      </c>
      <c r="B85" s="8" t="inlineStr">
        <is>
          <t>T4</t>
        </is>
      </c>
      <c r="C85" s="16" t="inlineStr">
        <is>
          <t>Portfolio construction and selection</t>
        </is>
      </c>
      <c r="D85" s="16" t="inlineStr">
        <is>
          <t>Decide portfolio choice rule when the hurdle is infeasible (D26)</t>
        </is>
      </c>
      <c r="E85" s="16" t="inlineStr">
        <is>
          <t>All members</t>
        </is>
      </c>
      <c r="F85" s="16" t="inlineStr">
        <is>
          <t>Done</t>
        </is>
      </c>
      <c r="G85" s="16" t="inlineStr">
        <is>
          <t>Weeks 1–2</t>
        </is>
      </c>
      <c r="H85" s="14" t="n"/>
      <c r="I85" s="16" t="inlineStr">
        <is>
          <t>D26 approved (option b); frontier.select_highest_compliant; d26_selected in P1-train / P1-final</t>
        </is>
      </c>
      <c r="J85" s="16" t="n"/>
      <c r="K85" s="16" t="inlineStr">
        <is>
          <t>D26 approved (option b); frontier.select_highest_compliant; d26_selected in P1-train / P1-final</t>
        </is>
      </c>
      <c r="L85" s="16" t="inlineStr">
        <is>
          <t>Critical</t>
        </is>
      </c>
      <c r="M85" s="16" t="inlineStr">
        <is>
          <t>T4.11</t>
        </is>
      </c>
      <c r="N85" s="16" t="inlineStr">
        <is>
          <t>T4 finding 2026-10-29</t>
        </is>
      </c>
    </row>
    <row r="86" ht="36.75" customHeight="1" s="36">
      <c r="A86" s="8" t="inlineStr">
        <is>
          <t>T4.25</t>
        </is>
      </c>
      <c r="B86" s="8" t="inlineStr">
        <is>
          <t>T4</t>
        </is>
      </c>
      <c r="C86" s="16" t="inlineStr">
        <is>
          <t>Portfolio construction and selection</t>
        </is>
      </c>
      <c r="D86" s="16" t="inlineStr">
        <is>
          <t>Final-selection robustness: D26 with a 5-year-test margin, component-ES cap, or blend with Risk Parity (out-of-sample evidence)</t>
        </is>
      </c>
      <c r="E86" s="16" t="inlineStr">
        <is>
          <t>Dewmini</t>
        </is>
      </c>
      <c r="F86" s="16" t="inlineStr">
        <is>
          <t>Done</t>
        </is>
      </c>
      <c r="G86" s="16" t="inlineStr">
        <is>
          <t>Weeks 1–2</t>
        </is>
      </c>
      <c r="H86" s="14" t="n"/>
      <c r="I86" s="16" t="inlineStr">
        <is>
          <t>O1–O5 evaluated (research_t425_eval_*.csv, research doc T4_25): O4 gold floor not justified; O2 recommended (conditional)</t>
        </is>
      </c>
      <c r="J86" s="16" t="n"/>
      <c r="K86" s="16" t="inlineStr">
        <is>
          <t>O1–O5 evaluated (research_t425_eval_*.csv, research doc T4_25): O4 gold floor not justified; O2 recommended (conditional)</t>
        </is>
      </c>
      <c r="L86" s="16" t="inlineStr">
        <is>
          <t>High</t>
        </is>
      </c>
      <c r="M86" s="16" t="inlineStr">
        <is>
          <t>T9.06, T10.07</t>
        </is>
      </c>
      <c r="N86" s="16" t="inlineStr">
        <is>
          <t>KPI findings 2026-10-29 · component-ES cap option done (D27)</t>
        </is>
      </c>
    </row>
    <row r="87" ht="36.75" customHeight="1" s="36">
      <c r="A87" s="8" t="inlineStr">
        <is>
          <t>T4.26</t>
        </is>
      </c>
      <c r="B87" s="8" t="inlineStr">
        <is>
          <t>T4</t>
        </is>
      </c>
      <c r="C87" s="16" t="inlineStr">
        <is>
          <t>Portfolio construction and selection</t>
        </is>
      </c>
      <c r="D87" s="16" t="inlineStr">
        <is>
          <t>Speed up portfolio stage (~7 min): cache solves, fewer bisection steps</t>
        </is>
      </c>
      <c r="E87" s="16" t="inlineStr">
        <is>
          <t>Malindu</t>
        </is>
      </c>
      <c r="F87" s="16" t="inlineStr">
        <is>
          <t>Not Started</t>
        </is>
      </c>
      <c r="G87" s="16" t="inlineStr">
        <is>
          <t>Weeks 1–2</t>
        </is>
      </c>
      <c r="H87" s="14" t="n"/>
      <c r="I87" s="16" t="n"/>
      <c r="J87" s="16" t="n"/>
      <c r="K87" s="16" t="inlineStr">
        <is>
          <t>run_all under ~2 min</t>
        </is>
      </c>
      <c r="L87" s="16" t="inlineStr">
        <is>
          <t>Medium</t>
        </is>
      </c>
      <c r="M87" s="16" t="inlineStr">
        <is>
          <t>—</t>
        </is>
      </c>
      <c r="N87" s="16" t="inlineStr">
        <is>
          <t>Review 2026-10-29</t>
        </is>
      </c>
    </row>
    <row r="88" ht="36.75" customHeight="1" s="36">
      <c r="A88" s="8" t="inlineStr">
        <is>
          <t>T5.01</t>
        </is>
      </c>
      <c r="B88" s="8" t="inlineStr">
        <is>
          <t>T5</t>
        </is>
      </c>
      <c r="C88" s="16" t="inlineStr">
        <is>
          <t>KPIs and benchmarks</t>
        </is>
      </c>
      <c r="D88" s="16" t="inlineStr">
        <is>
          <t>Implement Sharpe and Sortino metrics consistently</t>
        </is>
      </c>
      <c r="E88" s="16" t="inlineStr">
        <is>
          <t>Raveena</t>
        </is>
      </c>
      <c r="F88" s="16" t="inlineStr">
        <is>
          <t>Done</t>
        </is>
      </c>
      <c r="G88" s="16" t="inlineStr">
        <is>
          <t>Week 2</t>
        </is>
      </c>
      <c r="H88" s="14" t="n"/>
      <c r="I88" s="16" t="inlineStr">
        <is>
          <t>kpis.kpis: Sharpe, Sortino</t>
        </is>
      </c>
      <c r="J88" s="16" t="n"/>
      <c r="K88" s="16" t="inlineStr">
        <is>
          <t>kpis.kpis: Sharpe, Sortino</t>
        </is>
      </c>
      <c r="L88" s="16" t="inlineStr">
        <is>
          <t>Critical</t>
        </is>
      </c>
      <c r="M88" s="16" t="inlineStr">
        <is>
          <t>T1.03</t>
        </is>
      </c>
      <c r="N88" s="16" t="inlineStr">
        <is>
          <t>PM · BR p.7</t>
        </is>
      </c>
    </row>
    <row r="89" ht="36.75" customHeight="1" s="36">
      <c r="A89" s="8" t="inlineStr">
        <is>
          <t>T5.02</t>
        </is>
      </c>
      <c r="B89" s="8" t="inlineStr">
        <is>
          <t>T5</t>
        </is>
      </c>
      <c r="C89" s="16" t="inlineStr">
        <is>
          <t>KPIs and benchmarks</t>
        </is>
      </c>
      <c r="D89" s="16" t="inlineStr">
        <is>
          <t>Compute Treynor and Jensen alpha with market benchmark</t>
        </is>
      </c>
      <c r="E89" s="16" t="inlineStr">
        <is>
          <t>Raveena</t>
        </is>
      </c>
      <c r="F89" s="16" t="inlineStr">
        <is>
          <t>Done</t>
        </is>
      </c>
      <c r="G89" s="16" t="inlineStr">
        <is>
          <t>Week 2</t>
        </is>
      </c>
      <c r="H89" s="14" t="n"/>
      <c r="I89" s="16" t="inlineStr">
        <is>
          <t>kpis.kpis: beta, Jensen α vs SPY (D3)</t>
        </is>
      </c>
      <c r="J89" s="16" t="n"/>
      <c r="K89" s="16" t="inlineStr">
        <is>
          <t>kpis.kpis: beta, Jensen α vs SPY (D3)</t>
        </is>
      </c>
      <c r="L89" s="16" t="inlineStr">
        <is>
          <t>Critical</t>
        </is>
      </c>
      <c r="M89" s="16" t="inlineStr">
        <is>
          <t>T3.08 (D3 done)</t>
        </is>
      </c>
      <c r="N89" s="16" t="inlineStr">
        <is>
          <t>PM · BR p.7</t>
        </is>
      </c>
    </row>
    <row r="90" ht="36.75" customHeight="1" s="36">
      <c r="A90" s="8" t="inlineStr">
        <is>
          <t>T5.03</t>
        </is>
      </c>
      <c r="B90" s="8" t="inlineStr">
        <is>
          <t>T5</t>
        </is>
      </c>
      <c r="C90" s="16" t="inlineStr">
        <is>
          <t>KPIs and benchmarks</t>
        </is>
      </c>
      <c r="D90" s="16" t="inlineStr">
        <is>
          <t>Compute Information Ratio against agreed benchmark</t>
        </is>
      </c>
      <c r="E90" s="16" t="inlineStr">
        <is>
          <t>Raveena</t>
        </is>
      </c>
      <c r="F90" s="16" t="inlineStr">
        <is>
          <t>Done</t>
        </is>
      </c>
      <c r="G90" s="16" t="inlineStr">
        <is>
          <t>Week 2</t>
        </is>
      </c>
      <c r="H90" s="14" t="n"/>
      <c r="I90" s="16" t="inlineStr">
        <is>
          <t>kpis.kpis: IR vs Policy 40/50/10</t>
        </is>
      </c>
      <c r="J90" s="16" t="n"/>
      <c r="K90" s="16" t="inlineStr">
        <is>
          <t>kpis.kpis: IR vs Policy 40/50/10</t>
        </is>
      </c>
      <c r="L90" s="16" t="inlineStr">
        <is>
          <t>Critical</t>
        </is>
      </c>
      <c r="M90" s="16" t="inlineStr">
        <is>
          <t>T3.08</t>
        </is>
      </c>
      <c r="N90" s="16" t="inlineStr">
        <is>
          <t>PM · BR p.7</t>
        </is>
      </c>
    </row>
    <row r="91" ht="36.75" customHeight="1" s="36">
      <c r="A91" s="8" t="inlineStr">
        <is>
          <t>T5.04</t>
        </is>
      </c>
      <c r="B91" s="8" t="inlineStr">
        <is>
          <t>T5</t>
        </is>
      </c>
      <c r="C91" s="16" t="inlineStr">
        <is>
          <t>KPIs and benchmarks</t>
        </is>
      </c>
      <c r="D91" s="16" t="inlineStr">
        <is>
          <t>Compute maximum drawdown and Calmar ratio</t>
        </is>
      </c>
      <c r="E91" s="16" t="inlineStr">
        <is>
          <t>Raveena</t>
        </is>
      </c>
      <c r="F91" s="16" t="inlineStr">
        <is>
          <t>Done</t>
        </is>
      </c>
      <c r="G91" s="16" t="inlineStr">
        <is>
          <t>Week 2</t>
        </is>
      </c>
      <c r="H91" s="14" t="n"/>
      <c r="I91" s="16" t="inlineStr">
        <is>
          <t>kpis.kpis: max DD, Calmar</t>
        </is>
      </c>
      <c r="J91" s="16" t="n"/>
      <c r="K91" s="16" t="inlineStr">
        <is>
          <t>kpis.kpis: max DD, Calmar</t>
        </is>
      </c>
      <c r="L91" s="16" t="inlineStr">
        <is>
          <t>Critical</t>
        </is>
      </c>
      <c r="M91" s="16" t="inlineStr">
        <is>
          <t>T1.03</t>
        </is>
      </c>
      <c r="N91" s="16" t="inlineStr">
        <is>
          <t>PM · BR p.7</t>
        </is>
      </c>
    </row>
    <row r="92" ht="36.75" customHeight="1" s="36">
      <c r="A92" s="8" t="inlineStr">
        <is>
          <t>T5.05</t>
        </is>
      </c>
      <c r="B92" s="8" t="inlineStr">
        <is>
          <t>T5</t>
        </is>
      </c>
      <c r="C92" s="16" t="inlineStr">
        <is>
          <t>KPIs and benchmarks</t>
        </is>
      </c>
      <c r="D92" s="16" t="inlineStr">
        <is>
          <t>Prepare comparative KPI and benchmark results</t>
        </is>
      </c>
      <c r="E92" s="16" t="inlineStr">
        <is>
          <t>Raveena</t>
        </is>
      </c>
      <c r="F92" s="16" t="inlineStr">
        <is>
          <t>Done</t>
        </is>
      </c>
      <c r="G92" s="16" t="inlineStr">
        <is>
          <t>Week 2</t>
        </is>
      </c>
      <c r="H92" s="14" t="n"/>
      <c r="I92" s="16" t="inlineStr">
        <is>
          <t>outputs/tables/kpis.csv (candidates + D3 benchmarks)</t>
        </is>
      </c>
      <c r="J92" s="16" t="n"/>
      <c r="K92" s="16" t="inlineStr">
        <is>
          <t>outputs/tables/kpis.csv (candidates + D3 benchmarks)</t>
        </is>
      </c>
      <c r="L92" s="16" t="inlineStr">
        <is>
          <t>Critical</t>
        </is>
      </c>
      <c r="M92" s="16" t="inlineStr">
        <is>
          <t>T4.16, T5.01–T5.04</t>
        </is>
      </c>
      <c r="N92" s="16" t="inlineStr">
        <is>
          <t>PM · FJ PM-N02</t>
        </is>
      </c>
    </row>
    <row r="93" ht="36.75" customHeight="1" s="36">
      <c r="A93" s="8" t="inlineStr">
        <is>
          <t>T5.06</t>
        </is>
      </c>
      <c r="B93" s="8" t="inlineStr">
        <is>
          <t>T5</t>
        </is>
      </c>
      <c r="C93" s="16" t="inlineStr">
        <is>
          <t>KPIs and benchmarks</t>
        </is>
      </c>
      <c r="D93" s="16" t="inlineStr">
        <is>
          <t>CAPM expected return and beta per ETF and candidate</t>
        </is>
      </c>
      <c r="E93" s="16" t="inlineStr">
        <is>
          <t>Raveena</t>
        </is>
      </c>
      <c r="F93" s="16" t="inlineStr">
        <is>
          <t>Done</t>
        </is>
      </c>
      <c r="G93" s="16" t="inlineStr">
        <is>
          <t>Week 2</t>
        </is>
      </c>
      <c r="H93" s="14" t="n"/>
      <c r="I93" s="16" t="inlineStr">
        <is>
          <t>cma_full.csv / cma_train.csv betas and CAPM E[R]</t>
        </is>
      </c>
      <c r="J93" s="16" t="n"/>
      <c r="K93" s="16" t="inlineStr">
        <is>
          <t>cma_full.csv / cma_train.csv betas and CAPM E[R]</t>
        </is>
      </c>
      <c r="L93" s="16" t="inlineStr">
        <is>
          <t>Critical</t>
        </is>
      </c>
      <c r="M93" s="16" t="inlineStr">
        <is>
          <t>T3.08</t>
        </is>
      </c>
      <c r="N93" s="16" t="inlineStr">
        <is>
          <t>FJ PM-N01 · BR p.7</t>
        </is>
      </c>
    </row>
    <row r="94" ht="36.75" customHeight="1" s="36">
      <c r="A94" s="8" t="inlineStr">
        <is>
          <t>T5.07</t>
        </is>
      </c>
      <c r="B94" s="8" t="inlineStr">
        <is>
          <t>T5</t>
        </is>
      </c>
      <c r="C94" s="16" t="inlineStr">
        <is>
          <t>KPIs and benchmarks</t>
        </is>
      </c>
      <c r="D94" s="16" t="inlineStr">
        <is>
          <t>Report KPIs separately for training and out-of-sample periods</t>
        </is>
      </c>
      <c r="E94" s="16" t="inlineStr">
        <is>
          <t>Raveena</t>
        </is>
      </c>
      <c r="F94" s="16" t="inlineStr">
        <is>
          <t>Done</t>
        </is>
      </c>
      <c r="G94" s="16" t="inlineStr">
        <is>
          <t>Week 2</t>
        </is>
      </c>
      <c r="H94" s="14" t="n"/>
      <c r="I94" s="16" t="inlineStr">
        <is>
          <t>kpis.csv periods: train / validation / test (P1-train) + full (P1-final)</t>
        </is>
      </c>
      <c r="J94" s="16" t="n"/>
      <c r="K94" s="16" t="inlineStr">
        <is>
          <t>kpis.csv periods: train / validation / test (P1-train) + full (P1-final)</t>
        </is>
      </c>
      <c r="L94" s="16" t="inlineStr">
        <is>
          <t>High</t>
        </is>
      </c>
      <c r="M94" s="16" t="inlineStr">
        <is>
          <t>T2.13, T5.05</t>
        </is>
      </c>
      <c r="N94" s="16" t="inlineStr">
        <is>
          <t>REV leakage</t>
        </is>
      </c>
    </row>
    <row r="95" ht="36.75" customHeight="1" s="36">
      <c r="A95" s="8" t="inlineStr">
        <is>
          <t>T5.08</t>
        </is>
      </c>
      <c r="B95" s="8" t="inlineStr">
        <is>
          <t>T5</t>
        </is>
      </c>
      <c r="C95" s="16" t="inlineStr">
        <is>
          <t>KPIs and benchmarks</t>
        </is>
      </c>
      <c r="D95" s="16" t="inlineStr">
        <is>
          <t>Verify KPIs against hand-calculated examples</t>
        </is>
      </c>
      <c r="E95" s="16" t="inlineStr">
        <is>
          <t>Raveena</t>
        </is>
      </c>
      <c r="F95" s="16" t="inlineStr">
        <is>
          <t>Done</t>
        </is>
      </c>
      <c r="G95" s="16" t="inlineStr">
        <is>
          <t>Week 2</t>
        </is>
      </c>
      <c r="H95" s="14" t="n"/>
      <c r="I95" s="16" t="inlineStr">
        <is>
          <t>tests/unit/test_kpis.py (4 known-answer tests)</t>
        </is>
      </c>
      <c r="J95" s="16" t="n"/>
      <c r="K95" s="16" t="inlineStr">
        <is>
          <t>tests/unit/test_kpis.py (4 known-answer tests)</t>
        </is>
      </c>
      <c r="L95" s="16" t="inlineStr">
        <is>
          <t>High</t>
        </is>
      </c>
      <c r="M95" s="16" t="inlineStr">
        <is>
          <t>T5.01–T5.04</t>
        </is>
      </c>
      <c r="N95" s="16" t="inlineStr">
        <is>
          <t>REV</t>
        </is>
      </c>
    </row>
    <row r="96" ht="36.75" customHeight="1" s="36">
      <c r="A96" s="8" t="inlineStr">
        <is>
          <t>T5.09</t>
        </is>
      </c>
      <c r="B96" s="8" t="inlineStr">
        <is>
          <t>T5</t>
        </is>
      </c>
      <c r="C96" s="16" t="inlineStr">
        <is>
          <t>KPIs and benchmarks</t>
        </is>
      </c>
      <c r="D96" s="16" t="inlineStr">
        <is>
          <t>KPIs for portfolio and all D3 benchmarks with identical (quarterly) rebalancing and total returns</t>
        </is>
      </c>
      <c r="E96" s="16" t="inlineStr">
        <is>
          <t>Raveena</t>
        </is>
      </c>
      <c r="F96" s="16" t="inlineStr">
        <is>
          <t>Done</t>
        </is>
      </c>
      <c r="G96" s="16" t="inlineStr">
        <is>
          <t>Week 2</t>
        </is>
      </c>
      <c r="H96" s="14" t="n"/>
      <c r="I96" s="16" t="inlineStr">
        <is>
          <t>same quarterly rebalancing for all (conventions.rebalanced_returns)</t>
        </is>
      </c>
      <c r="J96" s="16" t="n"/>
      <c r="K96" s="16" t="inlineStr">
        <is>
          <t>same quarterly rebalancing for all (conventions.rebalanced_returns)</t>
        </is>
      </c>
      <c r="L96" s="16" t="inlineStr">
        <is>
          <t>High</t>
        </is>
      </c>
      <c r="M96" s="16" t="inlineStr">
        <is>
          <t>T2.17</t>
        </is>
      </c>
      <c r="N96" s="16" t="inlineStr">
        <is>
          <t>DEC D3</t>
        </is>
      </c>
    </row>
    <row r="97" ht="36.75" customHeight="1" s="36">
      <c r="A97" s="8" t="inlineStr">
        <is>
          <t>T6.01</t>
        </is>
      </c>
      <c r="B97" s="8" t="inlineStr">
        <is>
          <t>T6</t>
        </is>
      </c>
      <c r="C97" s="16" t="inlineStr">
        <is>
          <t>VaR with 3 methods</t>
        </is>
      </c>
      <c r="D97" s="16" t="inlineStr">
        <is>
          <t>Fix portfolio losses convention and risk horizon</t>
        </is>
      </c>
      <c r="E97" s="16" t="inlineStr">
        <is>
          <t>Sujan</t>
        </is>
      </c>
      <c r="F97" s="16" t="inlineStr">
        <is>
          <t>Done</t>
        </is>
      </c>
      <c r="G97" s="16" t="inlineStr">
        <is>
          <t>Week 2</t>
        </is>
      </c>
      <c r="H97" s="14" t="n"/>
      <c r="I97" s="16" t="inlineStr">
        <is>
          <t>Loss = −return, 1-day, constant target weights (risk/var_es.py)</t>
        </is>
      </c>
      <c r="J97" s="16" t="n"/>
      <c r="K97" s="16" t="inlineStr">
        <is>
          <t>Loss = −return, 1-day, constant target weights (risk/var_es.py)</t>
        </is>
      </c>
      <c r="L97" s="16" t="inlineStr">
        <is>
          <t>Critical</t>
        </is>
      </c>
      <c r="M97" s="16" t="inlineStr">
        <is>
          <t>T1.03, T4.16</t>
        </is>
      </c>
      <c r="N97" s="16" t="inlineStr">
        <is>
          <t>PM · FJ R01 · conventions done</t>
        </is>
      </c>
    </row>
    <row r="98" ht="36.75" customHeight="1" s="36">
      <c r="A98" s="8" t="inlineStr">
        <is>
          <t>T6.02</t>
        </is>
      </c>
      <c r="B98" s="8" t="inlineStr">
        <is>
          <t>T6</t>
        </is>
      </c>
      <c r="C98" s="16" t="inlineStr">
        <is>
          <t>VaR with 3 methods</t>
        </is>
      </c>
      <c r="D98" s="16" t="inlineStr">
        <is>
          <t>Implement Historical VaR at 95% and 99%</t>
        </is>
      </c>
      <c r="E98" s="16" t="inlineStr">
        <is>
          <t>Sujan</t>
        </is>
      </c>
      <c r="F98" s="16" t="inlineStr">
        <is>
          <t>Done</t>
        </is>
      </c>
      <c r="G98" s="16" t="inlineStr">
        <is>
          <t>Week 2</t>
        </is>
      </c>
      <c r="H98" s="14" t="n"/>
      <c r="I98" s="16" t="inlineStr">
        <is>
          <t>var_es.historical</t>
        </is>
      </c>
      <c r="J98" s="16" t="n"/>
      <c r="K98" s="16" t="inlineStr">
        <is>
          <t>var_es.historical</t>
        </is>
      </c>
      <c r="L98" s="16" t="inlineStr">
        <is>
          <t>Critical</t>
        </is>
      </c>
      <c r="M98" s="16" t="inlineStr">
        <is>
          <t>T6.01</t>
        </is>
      </c>
      <c r="N98" s="16" t="inlineStr">
        <is>
          <t>PM · BR p.7</t>
        </is>
      </c>
    </row>
    <row r="99" ht="36.75" customHeight="1" s="36">
      <c r="A99" s="8" t="inlineStr">
        <is>
          <t>T6.03</t>
        </is>
      </c>
      <c r="B99" s="8" t="inlineStr">
        <is>
          <t>T6</t>
        </is>
      </c>
      <c r="C99" s="16" t="inlineStr">
        <is>
          <t>VaR with 3 methods</t>
        </is>
      </c>
      <c r="D99" s="16" t="inlineStr">
        <is>
          <t>Implement Parametric VaR at 95% and 99%</t>
        </is>
      </c>
      <c r="E99" s="16" t="inlineStr">
        <is>
          <t>Sujan</t>
        </is>
      </c>
      <c r="F99" s="16" t="inlineStr">
        <is>
          <t>Done</t>
        </is>
      </c>
      <c r="G99" s="16" t="inlineStr">
        <is>
          <t>Week 2</t>
        </is>
      </c>
      <c r="H99" s="14" t="n"/>
      <c r="I99" s="16" t="inlineStr">
        <is>
          <t>var_es.normal + student_t (MLE)</t>
        </is>
      </c>
      <c r="J99" s="16" t="n"/>
      <c r="K99" s="16" t="inlineStr">
        <is>
          <t>var_es.normal + student_t (MLE)</t>
        </is>
      </c>
      <c r="L99" s="16" t="inlineStr">
        <is>
          <t>Critical</t>
        </is>
      </c>
      <c r="M99" s="16" t="inlineStr">
        <is>
          <t>T6.01</t>
        </is>
      </c>
      <c r="N99" s="16" t="inlineStr">
        <is>
          <t>PM · BR p.7</t>
        </is>
      </c>
    </row>
    <row r="100" ht="36.75" customHeight="1" s="36">
      <c r="A100" s="8" t="inlineStr">
        <is>
          <t>T6.04</t>
        </is>
      </c>
      <c r="B100" s="8" t="inlineStr">
        <is>
          <t>T6</t>
        </is>
      </c>
      <c r="C100" s="16" t="inlineStr">
        <is>
          <t>VaR with 3 methods</t>
        </is>
      </c>
      <c r="D100" s="16" t="inlineStr">
        <is>
          <t>Implement Monte Carlo VaR at 95% and 99%</t>
        </is>
      </c>
      <c r="E100" s="16" t="inlineStr">
        <is>
          <t>Sujan</t>
        </is>
      </c>
      <c r="F100" s="16" t="inlineStr">
        <is>
          <t>Done</t>
        </is>
      </c>
      <c r="G100" s="16" t="inlineStr">
        <is>
          <t>Week 2</t>
        </is>
      </c>
      <c r="H100" s="14" t="n"/>
      <c r="I100" s="16" t="inlineStr">
        <is>
          <t>var_es.monte_carlo: t-copula + empirical marginals (D19), 100k sims, seed 42</t>
        </is>
      </c>
      <c r="J100" s="16" t="n"/>
      <c r="K100" s="16" t="inlineStr">
        <is>
          <t>var_es.monte_carlo: t-copula + empirical marginals (D19), 100k sims, seed 42</t>
        </is>
      </c>
      <c r="L100" s="16" t="inlineStr">
        <is>
          <t>Critical</t>
        </is>
      </c>
      <c r="M100" s="16" t="inlineStr">
        <is>
          <t>T6.01</t>
        </is>
      </c>
      <c r="N100" s="16" t="inlineStr">
        <is>
          <t>PM · BR p.7 · DEC D19</t>
        </is>
      </c>
    </row>
    <row r="101" ht="36.75" customHeight="1" s="36">
      <c r="A101" s="8" t="inlineStr">
        <is>
          <t>T6.05</t>
        </is>
      </c>
      <c r="B101" s="8" t="inlineStr">
        <is>
          <t>T6</t>
        </is>
      </c>
      <c r="C101" s="16" t="inlineStr">
        <is>
          <t>VaR with 3 methods</t>
        </is>
      </c>
      <c r="D101" s="16" t="inlineStr">
        <is>
          <t>Compare all methods on identical portfolios and windows</t>
        </is>
      </c>
      <c r="E101" s="16" t="inlineStr">
        <is>
          <t>Sujan</t>
        </is>
      </c>
      <c r="F101" s="16" t="inlineStr">
        <is>
          <t>Done</t>
        </is>
      </c>
      <c r="G101" s="16" t="inlineStr">
        <is>
          <t>Week 2</t>
        </is>
      </c>
      <c r="H101" s="14" t="n"/>
      <c r="I101" s="16" t="inlineStr">
        <is>
          <t>outputs/tables/p2_var_es.csv: 6 portfolios × 4 methods × 3 levels</t>
        </is>
      </c>
      <c r="J101" s="16" t="n"/>
      <c r="K101" s="16" t="inlineStr">
        <is>
          <t>outputs/tables/p2_var_es.csv: 6 portfolios × 4 methods × 3 levels</t>
        </is>
      </c>
      <c r="L101" s="16" t="inlineStr">
        <is>
          <t>Critical</t>
        </is>
      </c>
      <c r="M101" s="16" t="inlineStr">
        <is>
          <t>T6.02–T6.04</t>
        </is>
      </c>
      <c r="N101" s="16" t="inlineStr">
        <is>
          <t>PM · FJ R-N01</t>
        </is>
      </c>
    </row>
    <row r="102" ht="36.75" customHeight="1" s="36">
      <c r="A102" s="8" t="inlineStr">
        <is>
          <t>T6.06</t>
        </is>
      </c>
      <c r="B102" s="8" t="inlineStr">
        <is>
          <t>T6</t>
        </is>
      </c>
      <c r="C102" s="16" t="inlineStr">
        <is>
          <t>VaR with 3 methods</t>
        </is>
      </c>
      <c r="D102" s="16" t="inlineStr">
        <is>
          <t>Explain disagreements under calm and stressed conditions</t>
        </is>
      </c>
      <c r="E102" s="16" t="inlineStr">
        <is>
          <t>Sujan</t>
        </is>
      </c>
      <c r="F102" s="16" t="inlineStr">
        <is>
          <t>Done</t>
        </is>
      </c>
      <c r="G102" s="16" t="inlineStr">
        <is>
          <t>Week 2</t>
        </is>
      </c>
      <c r="H102" s="14" t="n"/>
      <c r="I102" s="16" t="inlineStr">
        <is>
          <t>docs/research/P2_var_es_methods.md §2</t>
        </is>
      </c>
      <c r="J102" s="16" t="n"/>
      <c r="K102" s="16" t="inlineStr">
        <is>
          <t>docs/research/P2_var_es_methods.md §2</t>
        </is>
      </c>
      <c r="L102" s="16" t="inlineStr">
        <is>
          <t>Critical</t>
        </is>
      </c>
      <c r="M102" s="16" t="inlineStr">
        <is>
          <t>T6.05, T8.11</t>
        </is>
      </c>
      <c r="N102" s="16" t="inlineStr">
        <is>
          <t>PM · BR p.7</t>
        </is>
      </c>
    </row>
    <row r="103" ht="36.75" customHeight="1" s="36">
      <c r="A103" s="8" t="inlineStr">
        <is>
          <t>T6.07</t>
        </is>
      </c>
      <c r="B103" s="8" t="inlineStr">
        <is>
          <t>T6</t>
        </is>
      </c>
      <c r="C103" s="16" t="inlineStr">
        <is>
          <t>VaR with 3 methods</t>
        </is>
      </c>
      <c r="D103" s="16" t="inlineStr">
        <is>
          <t>Add 90% level to every VaR method (app requirement)</t>
        </is>
      </c>
      <c r="E103" s="16" t="inlineStr">
        <is>
          <t>Sujan</t>
        </is>
      </c>
      <c r="F103" s="16" t="inlineStr">
        <is>
          <t>Done</t>
        </is>
      </c>
      <c r="G103" s="16" t="inlineStr">
        <is>
          <t>Week 2</t>
        </is>
      </c>
      <c r="H103" s="14" t="n"/>
      <c r="I103" s="16" t="inlineStr">
        <is>
          <t>90/95/99 in every method</t>
        </is>
      </c>
      <c r="J103" s="16" t="n"/>
      <c r="K103" s="16" t="inlineStr">
        <is>
          <t>90/95/99 in every method</t>
        </is>
      </c>
      <c r="L103" s="16" t="inlineStr">
        <is>
          <t>Critical</t>
        </is>
      </c>
      <c r="M103" s="16" t="inlineStr">
        <is>
          <t>T6.02–T6.04</t>
        </is>
      </c>
      <c r="N103" s="16" t="inlineStr">
        <is>
          <t>BR p.5 · R20</t>
        </is>
      </c>
    </row>
    <row r="104" ht="36.75" customHeight="1" s="36">
      <c r="A104" s="8" t="inlineStr">
        <is>
          <t>T6.08</t>
        </is>
      </c>
      <c r="B104" s="8" t="inlineStr">
        <is>
          <t>T6</t>
        </is>
      </c>
      <c r="C104" s="16" t="inlineStr">
        <is>
          <t>VaR with 3 methods</t>
        </is>
      </c>
      <c r="D104" s="16" t="inlineStr">
        <is>
          <t>Test model assumptions: Jarque–Bera, Ljung–Box on squared returns, QQ plots</t>
        </is>
      </c>
      <c r="E104" s="16" t="inlineStr">
        <is>
          <t>Sujan</t>
        </is>
      </c>
      <c r="F104" s="16" t="inlineStr">
        <is>
          <t>Done</t>
        </is>
      </c>
      <c r="G104" s="16" t="inlineStr">
        <is>
          <t>Week 2</t>
        </is>
      </c>
      <c r="H104" s="14" t="n"/>
      <c r="I104" s="16" t="inlineStr">
        <is>
          <t>var_es.assumption_diagnostics → p2_diagnostics.csv (JB, kurtosis, Ljung–Box², t ν)</t>
        </is>
      </c>
      <c r="J104" s="16" t="n"/>
      <c r="K104" s="16" t="inlineStr">
        <is>
          <t>var_es.assumption_diagnostics → p2_diagnostics.csv (JB, kurtosis, Ljung–Box², t ν)</t>
        </is>
      </c>
      <c r="L104" s="16" t="inlineStr">
        <is>
          <t>Critical</t>
        </is>
      </c>
      <c r="M104" s="16" t="inlineStr">
        <is>
          <t>T6.01</t>
        </is>
      </c>
      <c r="N104" s="16" t="inlineStr">
        <is>
          <t>BR p.7 · DEC D21</t>
        </is>
      </c>
    </row>
    <row r="105" ht="36.75" customHeight="1" s="36">
      <c r="A105" s="8" t="inlineStr">
        <is>
          <t>T6.09</t>
        </is>
      </c>
      <c r="B105" s="8" t="inlineStr">
        <is>
          <t>T6</t>
        </is>
      </c>
      <c r="C105" s="16" t="inlineStr">
        <is>
          <t>VaR with 3 methods</t>
        </is>
      </c>
      <c r="D105" s="16" t="inlineStr">
        <is>
          <t>Uncertainty bands: bootstrap CI (historical), MC standard error</t>
        </is>
      </c>
      <c r="E105" s="16" t="inlineStr">
        <is>
          <t>Sujan</t>
        </is>
      </c>
      <c r="F105" s="16" t="inlineStr">
        <is>
          <t>Done</t>
        </is>
      </c>
      <c r="G105" s="16" t="inlineStr">
        <is>
          <t>Week 2</t>
        </is>
      </c>
      <c r="H105" s="14" t="n"/>
      <c r="I105" s="16" t="inlineStr">
        <is>
          <t>bootstrap 95% intervals; MC batch SE</t>
        </is>
      </c>
      <c r="J105" s="16" t="n"/>
      <c r="K105" s="16" t="inlineStr">
        <is>
          <t>bootstrap 95% intervals; MC batch SE</t>
        </is>
      </c>
      <c r="L105" s="16" t="inlineStr">
        <is>
          <t>Critical</t>
        </is>
      </c>
      <c r="M105" s="16" t="inlineStr">
        <is>
          <t>T6.02–T6.04</t>
        </is>
      </c>
      <c r="N105" s="16" t="inlineStr">
        <is>
          <t>BR p.5 · DEC D18</t>
        </is>
      </c>
    </row>
    <row r="106" ht="36.75" customHeight="1" s="36">
      <c r="A106" s="8" t="inlineStr">
        <is>
          <t>T6.10</t>
        </is>
      </c>
      <c r="B106" s="8" t="inlineStr">
        <is>
          <t>T6</t>
        </is>
      </c>
      <c r="C106" s="16" t="inlineStr">
        <is>
          <t>VaR with 3 methods</t>
        </is>
      </c>
      <c r="D106" s="16" t="inlineStr">
        <is>
          <t>Multi-day horizon by simulation (no silent √t)</t>
        </is>
      </c>
      <c r="E106" s="16" t="inlineStr">
        <is>
          <t>Sujan</t>
        </is>
      </c>
      <c r="F106" s="16" t="inlineStr">
        <is>
          <t>Not Started</t>
        </is>
      </c>
      <c r="G106" s="16" t="inlineStr">
        <is>
          <t>Week 2</t>
        </is>
      </c>
      <c r="H106" s="14" t="n"/>
      <c r="I106" s="16" t="n"/>
      <c r="J106" s="16" t="n"/>
      <c r="K106" s="16" t="inlineStr">
        <is>
          <t>10-day / monthly VaR</t>
        </is>
      </c>
      <c r="L106" s="16" t="inlineStr">
        <is>
          <t>Medium</t>
        </is>
      </c>
      <c r="M106" s="16" t="inlineStr">
        <is>
          <t>T6.04</t>
        </is>
      </c>
      <c r="N106" s="16" t="inlineStr">
        <is>
          <t>DEC D17</t>
        </is>
      </c>
    </row>
    <row r="107" ht="36.75" customHeight="1" s="36">
      <c r="A107" s="8" t="inlineStr">
        <is>
          <t>T6.11</t>
        </is>
      </c>
      <c r="B107" s="8" t="inlineStr">
        <is>
          <t>T6</t>
        </is>
      </c>
      <c r="C107" s="16" t="inlineStr">
        <is>
          <t>VaR with 3 methods</t>
        </is>
      </c>
      <c r="D107" s="16" t="inlineStr">
        <is>
          <t>Express VaR in USD on the $10M NAV</t>
        </is>
      </c>
      <c r="E107" s="16" t="inlineStr">
        <is>
          <t>Sujan</t>
        </is>
      </c>
      <c r="F107" s="16" t="inlineStr">
        <is>
          <t>Done</t>
        </is>
      </c>
      <c r="G107" s="16" t="inlineStr">
        <is>
          <t>Week 2</t>
        </is>
      </c>
      <c r="H107" s="14" t="n"/>
      <c r="I107" s="16" t="inlineStr">
        <is>
          <t>VaR_usd / ES_usd columns</t>
        </is>
      </c>
      <c r="J107" s="16" t="n"/>
      <c r="K107" s="16" t="inlineStr">
        <is>
          <t>VaR_usd / ES_usd columns</t>
        </is>
      </c>
      <c r="L107" s="16" t="inlineStr">
        <is>
          <t>Critical</t>
        </is>
      </c>
      <c r="M107" s="16" t="inlineStr">
        <is>
          <t>T6.05</t>
        </is>
      </c>
      <c r="N107" s="16" t="inlineStr">
        <is>
          <t>FJ R-N01</t>
        </is>
      </c>
    </row>
    <row r="108" ht="36.75" customHeight="1" s="36">
      <c r="A108" s="8" t="inlineStr">
        <is>
          <t>T6.12</t>
        </is>
      </c>
      <c r="B108" s="8" t="inlineStr">
        <is>
          <t>T6</t>
        </is>
      </c>
      <c r="C108" s="16" t="inlineStr">
        <is>
          <t>VaR with 3 methods</t>
        </is>
      </c>
      <c r="D108" s="16" t="inlineStr">
        <is>
          <t>Forward-looking drawdown probabilities, e.g. P(DD &gt; 25% in 5 years), by block bootstrap</t>
        </is>
      </c>
      <c r="E108" s="16" t="inlineStr">
        <is>
          <t>Sujan</t>
        </is>
      </c>
      <c r="F108" s="16" t="inlineStr">
        <is>
          <t>Done</t>
        </is>
      </c>
      <c r="G108" s="16" t="inlineStr">
        <is>
          <t>Week 2</t>
        </is>
      </c>
      <c r="H108" s="14" t="n"/>
      <c r="I108" s="16" t="inlineStr">
        <is>
          <t>Probability table (reference + frontier portfolios; rerun for final candidates)</t>
        </is>
      </c>
      <c r="J108" s="16" t="n"/>
      <c r="K108" s="16" t="inlineStr">
        <is>
          <t>Probability table (reference + frontier portfolios; rerun for final candidates)</t>
        </is>
      </c>
      <c r="L108" s="16" t="inlineStr">
        <is>
          <t>High</t>
        </is>
      </c>
      <c r="M108" s="16" t="inlineStr">
        <is>
          <t>T4.16</t>
        </is>
      </c>
      <c r="N108" s="16" t="inlineStr">
        <is>
          <t>Research gap G1</t>
        </is>
      </c>
    </row>
    <row r="109" ht="36.75" customHeight="1" s="36">
      <c r="A109" s="8" t="inlineStr">
        <is>
          <t>T6.13</t>
        </is>
      </c>
      <c r="B109" s="8" t="inlineStr">
        <is>
          <t>T6</t>
        </is>
      </c>
      <c r="C109" s="16" t="inlineStr">
        <is>
          <t>VaR with 3 methods</t>
        </is>
      </c>
      <c r="D109" s="16" t="inlineStr">
        <is>
          <t>Speed up risk stage (~7 min; Student-t bootstrap refits)</t>
        </is>
      </c>
      <c r="E109" s="16" t="inlineStr">
        <is>
          <t>Sujan</t>
        </is>
      </c>
      <c r="F109" s="16" t="inlineStr">
        <is>
          <t>Not Started</t>
        </is>
      </c>
      <c r="G109" s="16" t="inlineStr">
        <is>
          <t>Week 2</t>
        </is>
      </c>
      <c r="H109" s="14" t="n"/>
      <c r="I109" s="16" t="n"/>
      <c r="J109" s="16" t="n"/>
      <c r="K109" s="16" t="inlineStr">
        <is>
          <t>run under ~2 min</t>
        </is>
      </c>
      <c r="L109" s="16" t="inlineStr">
        <is>
          <t>Medium</t>
        </is>
      </c>
      <c r="M109" s="16" t="inlineStr">
        <is>
          <t>—</t>
        </is>
      </c>
      <c r="N109" s="16" t="inlineStr">
        <is>
          <t>Build 2026-10-29</t>
        </is>
      </c>
    </row>
    <row r="110" ht="36.75" customHeight="1" s="36">
      <c r="A110" s="8" t="inlineStr">
        <is>
          <t>T7.01</t>
        </is>
      </c>
      <c r="B110" s="8" t="inlineStr">
        <is>
          <t>T7</t>
        </is>
      </c>
      <c r="C110" s="16" t="inlineStr">
        <is>
          <t>Expected Shortfall</t>
        </is>
      </c>
      <c r="D110" s="16" t="inlineStr">
        <is>
          <t>Compute Historical ES at 95% and 99%</t>
        </is>
      </c>
      <c r="E110" s="16" t="inlineStr">
        <is>
          <t>Sujan</t>
        </is>
      </c>
      <c r="F110" s="16" t="inlineStr">
        <is>
          <t>Done</t>
        </is>
      </c>
      <c r="G110" s="16" t="inlineStr">
        <is>
          <t>Week 2</t>
        </is>
      </c>
      <c r="H110" s="14" t="n"/>
      <c r="I110" s="16" t="inlineStr">
        <is>
          <t>var_es.historical ES</t>
        </is>
      </c>
      <c r="J110" s="16" t="n"/>
      <c r="K110" s="16" t="inlineStr">
        <is>
          <t>var_es.historical ES</t>
        </is>
      </c>
      <c r="L110" s="16" t="inlineStr">
        <is>
          <t>Critical</t>
        </is>
      </c>
      <c r="M110" s="16" t="inlineStr">
        <is>
          <t>T6.02</t>
        </is>
      </c>
      <c r="N110" s="16" t="inlineStr">
        <is>
          <t>PM · BR p.7</t>
        </is>
      </c>
    </row>
    <row r="111" ht="36.75" customHeight="1" s="36">
      <c r="A111" s="8" t="inlineStr">
        <is>
          <t>T7.02</t>
        </is>
      </c>
      <c r="B111" s="8" t="inlineStr">
        <is>
          <t>T7</t>
        </is>
      </c>
      <c r="C111" s="16" t="inlineStr">
        <is>
          <t>Expected Shortfall</t>
        </is>
      </c>
      <c r="D111" s="16" t="inlineStr">
        <is>
          <t>Compute ES from Parametric and Monte Carlo approaches</t>
        </is>
      </c>
      <c r="E111" s="16" t="inlineStr">
        <is>
          <t>Sujan</t>
        </is>
      </c>
      <c r="F111" s="16" t="inlineStr">
        <is>
          <t>Done</t>
        </is>
      </c>
      <c r="G111" s="16" t="inlineStr">
        <is>
          <t>Week 2</t>
        </is>
      </c>
      <c r="H111" s="14" t="n"/>
      <c r="I111" s="16" t="inlineStr">
        <is>
          <t>normal, Student-t (closed form) and MC ES</t>
        </is>
      </c>
      <c r="J111" s="16" t="n"/>
      <c r="K111" s="16" t="inlineStr">
        <is>
          <t>normal, Student-t (closed form) and MC ES</t>
        </is>
      </c>
      <c r="L111" s="16" t="inlineStr">
        <is>
          <t>Critical</t>
        </is>
      </c>
      <c r="M111" s="16" t="inlineStr">
        <is>
          <t>T6.03, T6.04</t>
        </is>
      </c>
      <c r="N111" s="16" t="inlineStr">
        <is>
          <t>PM</t>
        </is>
      </c>
    </row>
    <row r="112" ht="36.75" customHeight="1" s="36">
      <c r="A112" s="8" t="inlineStr">
        <is>
          <t>T7.03</t>
        </is>
      </c>
      <c r="B112" s="8" t="inlineStr">
        <is>
          <t>T7</t>
        </is>
      </c>
      <c r="C112" s="16" t="inlineStr">
        <is>
          <t>Expected Shortfall</t>
        </is>
      </c>
      <c r="D112" s="16" t="inlineStr">
        <is>
          <t>Compare corresponding VaR and ES outcomes</t>
        </is>
      </c>
      <c r="E112" s="16" t="inlineStr">
        <is>
          <t>Sujan</t>
        </is>
      </c>
      <c r="F112" s="16" t="inlineStr">
        <is>
          <t>Done</t>
        </is>
      </c>
      <c r="G112" s="16" t="inlineStr">
        <is>
          <t>Week 2</t>
        </is>
      </c>
      <c r="H112" s="14" t="n"/>
      <c r="I112" s="16" t="inlineStr">
        <is>
          <t>ES_over_VaR column; research doc §4</t>
        </is>
      </c>
      <c r="J112" s="16" t="n"/>
      <c r="K112" s="16" t="inlineStr">
        <is>
          <t>ES_over_VaR column; research doc §4</t>
        </is>
      </c>
      <c r="L112" s="16" t="inlineStr">
        <is>
          <t>Critical</t>
        </is>
      </c>
      <c r="M112" s="16" t="inlineStr">
        <is>
          <t>T7.01, T7.02</t>
        </is>
      </c>
      <c r="N112" s="16" t="inlineStr">
        <is>
          <t>PM</t>
        </is>
      </c>
    </row>
    <row r="113" ht="36.75" customHeight="1" s="36">
      <c r="A113" s="8" t="inlineStr">
        <is>
          <t>T7.04</t>
        </is>
      </c>
      <c r="B113" s="8" t="inlineStr">
        <is>
          <t>T7</t>
        </is>
      </c>
      <c r="C113" s="16" t="inlineStr">
        <is>
          <t>Expected Shortfall</t>
        </is>
      </c>
      <c r="D113" s="16" t="inlineStr">
        <is>
          <t>Explain expected tail losses and data limitations</t>
        </is>
      </c>
      <c r="E113" s="16" t="inlineStr">
        <is>
          <t>Sujan</t>
        </is>
      </c>
      <c r="F113" s="16" t="inlineStr">
        <is>
          <t>Done</t>
        </is>
      </c>
      <c r="G113" s="16" t="inlineStr">
        <is>
          <t>Week 2</t>
        </is>
      </c>
      <c r="H113" s="14" t="n"/>
      <c r="I113" s="16" t="inlineStr">
        <is>
          <t>research doc §2, §4</t>
        </is>
      </c>
      <c r="J113" s="16" t="n"/>
      <c r="K113" s="16" t="inlineStr">
        <is>
          <t>research doc §2, §4</t>
        </is>
      </c>
      <c r="L113" s="16" t="inlineStr">
        <is>
          <t>Critical</t>
        </is>
      </c>
      <c r="M113" s="16" t="inlineStr">
        <is>
          <t>T7.03</t>
        </is>
      </c>
      <c r="N113" s="16" t="inlineStr">
        <is>
          <t>PM · BR p.7</t>
        </is>
      </c>
    </row>
    <row r="114" ht="36.75" customHeight="1" s="36">
      <c r="A114" s="8" t="inlineStr">
        <is>
          <t>T7.05</t>
        </is>
      </c>
      <c r="B114" s="8" t="inlineStr">
        <is>
          <t>T7</t>
        </is>
      </c>
      <c r="C114" s="16" t="inlineStr">
        <is>
          <t>Expected Shortfall</t>
        </is>
      </c>
      <c r="D114" s="16" t="inlineStr">
        <is>
          <t>ES at 90% and uncertainty bands</t>
        </is>
      </c>
      <c r="E114" s="16" t="inlineStr">
        <is>
          <t>Sujan</t>
        </is>
      </c>
      <c r="F114" s="16" t="inlineStr">
        <is>
          <t>Done</t>
        </is>
      </c>
      <c r="G114" s="16" t="inlineStr">
        <is>
          <t>Week 2</t>
        </is>
      </c>
      <c r="H114" s="14" t="n"/>
      <c r="I114" s="16" t="inlineStr">
        <is>
          <t>ES at 90/95/99 with intervals</t>
        </is>
      </c>
      <c r="J114" s="16" t="n"/>
      <c r="K114" s="16" t="inlineStr">
        <is>
          <t>ES at 90/95/99 with intervals</t>
        </is>
      </c>
      <c r="L114" s="16" t="inlineStr">
        <is>
          <t>Critical</t>
        </is>
      </c>
      <c r="M114" s="16" t="inlineStr">
        <is>
          <t>T7.01, T7.02</t>
        </is>
      </c>
      <c r="N114" s="16" t="inlineStr">
        <is>
          <t>BR p.5 · DEC D18</t>
        </is>
      </c>
    </row>
    <row r="115" ht="36.75" customHeight="1" s="36">
      <c r="A115" s="8" t="inlineStr">
        <is>
          <t>T8.01</t>
        </is>
      </c>
      <c r="B115" s="8" t="inlineStr">
        <is>
          <t>T8</t>
        </is>
      </c>
      <c r="C115" s="16" t="inlineStr">
        <is>
          <t>EVT and GARCH</t>
        </is>
      </c>
      <c r="D115" s="16" t="inlineStr">
        <is>
          <t>Implement and diagnose conditional volatility (GARCH)</t>
        </is>
      </c>
      <c r="E115" s="16" t="inlineStr">
        <is>
          <t>Sujan</t>
        </is>
      </c>
      <c r="F115" s="16" t="inlineStr">
        <is>
          <t>Done</t>
        </is>
      </c>
      <c r="G115" s="16" t="inlineStr">
        <is>
          <t>Week 2</t>
        </is>
      </c>
      <c r="H115" s="14" t="n"/>
      <c r="I115" s="16" t="inlineStr">
        <is>
          <t>risk/evt_garch.fit_garch (GARCH(1,1)-t, rescaled) → p2_garch.csv; persistence 0.99, half-life 68–85 days</t>
        </is>
      </c>
      <c r="J115" s="16" t="n"/>
      <c r="K115" s="16" t="inlineStr">
        <is>
          <t>risk/evt_garch.fit_garch (GARCH(1,1)-t, rescaled) → p2_garch.csv; persistence 0.99, half-life 68–85 days</t>
        </is>
      </c>
      <c r="L115" s="16" t="inlineStr">
        <is>
          <t>High</t>
        </is>
      </c>
      <c r="M115" s="16" t="inlineStr">
        <is>
          <t>T6.01</t>
        </is>
      </c>
      <c r="N115" s="16" t="inlineStr">
        <is>
          <t>PM · FJ R05</t>
        </is>
      </c>
    </row>
    <row r="116" ht="36.75" customHeight="1" s="36">
      <c r="A116" s="8" t="inlineStr">
        <is>
          <t>T8.02</t>
        </is>
      </c>
      <c r="B116" s="8" t="inlineStr">
        <is>
          <t>T8</t>
        </is>
      </c>
      <c r="C116" s="16" t="inlineStr">
        <is>
          <t>EVT and GARCH</t>
        </is>
      </c>
      <c r="D116" s="16" t="inlineStr">
        <is>
          <t>Select EVT/GPD exceedance threshold with justification</t>
        </is>
      </c>
      <c r="E116" s="16" t="inlineStr">
        <is>
          <t>Sujan</t>
        </is>
      </c>
      <c r="F116" s="16" t="inlineStr">
        <is>
          <t>Done</t>
        </is>
      </c>
      <c r="G116" s="16" t="inlineStr">
        <is>
          <t>Week 2</t>
        </is>
      </c>
      <c r="H116" s="14" t="n"/>
      <c r="I116" s="16" t="inlineStr">
        <is>
          <t>choose_threshold: ≥150 exceedances, q&lt;95%, ξ stability; chosen on 2004–2019 → q=0.90</t>
        </is>
      </c>
      <c r="J116" s="16" t="n"/>
      <c r="K116" s="16" t="inlineStr">
        <is>
          <t>choose_threshold: ≥150 exceedances, q&lt;95%, ξ stability; chosen on 2004–2019 → q=0.90</t>
        </is>
      </c>
      <c r="L116" s="16" t="inlineStr">
        <is>
          <t>Critical</t>
        </is>
      </c>
      <c r="M116" s="16" t="inlineStr">
        <is>
          <t>T8.08</t>
        </is>
      </c>
      <c r="N116" s="16" t="inlineStr">
        <is>
          <t>PM · BR p.7</t>
        </is>
      </c>
    </row>
    <row r="117" ht="36.75" customHeight="1" s="36">
      <c r="A117" s="8" t="inlineStr">
        <is>
          <t>T8.03</t>
        </is>
      </c>
      <c r="B117" s="8" t="inlineStr">
        <is>
          <t>T8</t>
        </is>
      </c>
      <c r="C117" s="16" t="inlineStr">
        <is>
          <t>EVT and GARCH</t>
        </is>
      </c>
      <c r="D117" s="16" t="inlineStr">
        <is>
          <t>Fit tail distribution and test threshold sensitivity</t>
        </is>
      </c>
      <c r="E117" s="16" t="inlineStr">
        <is>
          <t>Sujan</t>
        </is>
      </c>
      <c r="F117" s="16" t="inlineStr">
        <is>
          <t>Done</t>
        </is>
      </c>
      <c r="G117" s="16" t="inlineStr">
        <is>
          <t>Week 2</t>
        </is>
      </c>
      <c r="H117" s="14" t="n"/>
      <c r="I117" s="16" t="inlineStr">
        <is>
          <t>threshold_stability (7 thresholds, bootstrap ξ CI) → p2_evt_thresholds.csv + figure</t>
        </is>
      </c>
      <c r="J117" s="16" t="n"/>
      <c r="K117" s="16" t="inlineStr">
        <is>
          <t>threshold_stability (7 thresholds, bootstrap ξ CI) → p2_evt_thresholds.csv + figure</t>
        </is>
      </c>
      <c r="L117" s="16" t="inlineStr">
        <is>
          <t>Critical</t>
        </is>
      </c>
      <c r="M117" s="16" t="inlineStr">
        <is>
          <t>T8.02</t>
        </is>
      </c>
      <c r="N117" s="16" t="inlineStr">
        <is>
          <t>PM · FJ R06</t>
        </is>
      </c>
    </row>
    <row r="118" ht="36.75" customHeight="1" s="36">
      <c r="A118" s="8" t="inlineStr">
        <is>
          <t>T8.04</t>
        </is>
      </c>
      <c r="B118" s="8" t="inlineStr">
        <is>
          <t>T8</t>
        </is>
      </c>
      <c r="C118" s="16" t="inlineStr">
        <is>
          <t>EVT and GARCH</t>
        </is>
      </c>
      <c r="D118" s="16" t="inlineStr">
        <is>
          <t>Estimate EVT VaR and ES at high confidence</t>
        </is>
      </c>
      <c r="E118" s="16" t="inlineStr">
        <is>
          <t>Sujan</t>
        </is>
      </c>
      <c r="F118" s="16" t="inlineStr">
        <is>
          <t>Done</t>
        </is>
      </c>
      <c r="G118" s="16" t="inlineStr">
        <is>
          <t>Week 2</t>
        </is>
      </c>
      <c r="H118" s="14" t="n"/>
      <c r="I118" s="16" t="inlineStr">
        <is>
          <t>evt_table → p2_evt.csv (95/99/99.5%)</t>
        </is>
      </c>
      <c r="J118" s="16" t="n"/>
      <c r="K118" s="16" t="inlineStr">
        <is>
          <t>evt_table → p2_evt.csv (95/99/99.5%)</t>
        </is>
      </c>
      <c r="L118" s="16" t="inlineStr">
        <is>
          <t>Critical</t>
        </is>
      </c>
      <c r="M118" s="16" t="inlineStr">
        <is>
          <t>T8.03</t>
        </is>
      </c>
      <c r="N118" s="16" t="inlineStr">
        <is>
          <t>PM</t>
        </is>
      </c>
    </row>
    <row r="119" ht="36.75" customHeight="1" s="36">
      <c r="A119" s="8" t="inlineStr">
        <is>
          <t>T8.05</t>
        </is>
      </c>
      <c r="B119" s="8" t="inlineStr">
        <is>
          <t>T8</t>
        </is>
      </c>
      <c r="C119" s="16" t="inlineStr">
        <is>
          <t>EVT and GARCH</t>
        </is>
      </c>
      <c r="D119" s="16" t="inlineStr">
        <is>
          <t>Compare GARCH/EVT and baseline estimates side by side</t>
        </is>
      </c>
      <c r="E119" s="16" t="inlineStr">
        <is>
          <t>Sujan</t>
        </is>
      </c>
      <c r="F119" s="16" t="inlineStr">
        <is>
          <t>Done</t>
        </is>
      </c>
      <c r="G119" s="16" t="inlineStr">
        <is>
          <t>Week 2</t>
        </is>
      </c>
      <c r="H119" s="14" t="n"/>
      <c r="I119" s="16" t="inlineStr">
        <is>
          <t>research doc P2 §5 (EVT vs historical vs GARCH-EVT vs normal)</t>
        </is>
      </c>
      <c r="J119" s="16" t="n"/>
      <c r="K119" s="16" t="inlineStr">
        <is>
          <t>research doc P2 §5 (EVT vs historical vs GARCH-EVT vs normal)</t>
        </is>
      </c>
      <c r="L119" s="16" t="inlineStr">
        <is>
          <t>Critical</t>
        </is>
      </c>
      <c r="M119" s="16" t="inlineStr">
        <is>
          <t>T8.04, T6.05</t>
        </is>
      </c>
      <c r="N119" s="16" t="inlineStr">
        <is>
          <t>PM · BR p.5 risk dashboard</t>
        </is>
      </c>
    </row>
    <row r="120" ht="36.75" customHeight="1" s="36">
      <c r="A120" s="8" t="inlineStr">
        <is>
          <t>T8.06</t>
        </is>
      </c>
      <c r="B120" s="8" t="inlineStr">
        <is>
          <t>T8</t>
        </is>
      </c>
      <c r="C120" s="16" t="inlineStr">
        <is>
          <t>EVT and GARCH</t>
        </is>
      </c>
      <c r="D120" s="16" t="inlineStr">
        <is>
          <t>Record instability, model assumptions and sparse-tail caveats</t>
        </is>
      </c>
      <c r="E120" s="16" t="inlineStr">
        <is>
          <t>Sujan</t>
        </is>
      </c>
      <c r="F120" s="16" t="inlineStr">
        <is>
          <t>Done</t>
        </is>
      </c>
      <c r="G120" s="16" t="inlineStr">
        <is>
          <t>Week 2</t>
        </is>
      </c>
      <c r="H120" s="14" t="n"/>
      <c r="I120" s="16" t="inlineStr">
        <is>
          <t>research doc §5: noise above 96%, regime dependence</t>
        </is>
      </c>
      <c r="J120" s="16" t="n"/>
      <c r="K120" s="16" t="inlineStr">
        <is>
          <t>research doc §5: noise above 96%, regime dependence</t>
        </is>
      </c>
      <c r="L120" s="16" t="inlineStr">
        <is>
          <t>Critical</t>
        </is>
      </c>
      <c r="M120" s="16" t="inlineStr">
        <is>
          <t>T8.03</t>
        </is>
      </c>
      <c r="N120" s="16" t="inlineStr">
        <is>
          <t>PM</t>
        </is>
      </c>
    </row>
    <row r="121" ht="36.75" customHeight="1" s="36">
      <c r="A121" s="8" t="inlineStr">
        <is>
          <t>T8.07</t>
        </is>
      </c>
      <c r="B121" s="8" t="inlineStr">
        <is>
          <t>T8</t>
        </is>
      </c>
      <c r="C121" s="16" t="inlineStr">
        <is>
          <t>EVT and GARCH</t>
        </is>
      </c>
      <c r="D121" s="16" t="inlineStr">
        <is>
          <t>Fit EVT on GARCH-filtered residuals (i.i.d. requirement)</t>
        </is>
      </c>
      <c r="E121" s="16" t="inlineStr">
        <is>
          <t>Sujan</t>
        </is>
      </c>
      <c r="F121" s="16" t="inlineStr">
        <is>
          <t>Done</t>
        </is>
      </c>
      <c r="G121" s="16" t="inlineStr">
        <is>
          <t>Week 2</t>
        </is>
      </c>
      <c r="H121" s="14" t="n"/>
      <c r="I121" s="16" t="inlineStr">
        <is>
          <t>garch_evt (McNeil–Frey) → p2_garch_evt.csv (current + long-run)</t>
        </is>
      </c>
      <c r="J121" s="16" t="n"/>
      <c r="K121" s="16" t="inlineStr">
        <is>
          <t>garch_evt (McNeil–Frey) → p2_garch_evt.csv (current + long-run)</t>
        </is>
      </c>
      <c r="L121" s="16" t="inlineStr">
        <is>
          <t>High</t>
        </is>
      </c>
      <c r="M121" s="16" t="inlineStr">
        <is>
          <t>T8.01</t>
        </is>
      </c>
      <c r="N121" s="16" t="inlineStr">
        <is>
          <t>DEC D8 · REV</t>
        </is>
      </c>
    </row>
    <row r="122" ht="36.75" customHeight="1" s="36">
      <c r="A122" s="8" t="inlineStr">
        <is>
          <t>T8.08</t>
        </is>
      </c>
      <c r="B122" s="8" t="inlineStr">
        <is>
          <t>T8</t>
        </is>
      </c>
      <c r="C122" s="16" t="inlineStr">
        <is>
          <t>EVT and GARCH</t>
        </is>
      </c>
      <c r="D122" s="16" t="inlineStr">
        <is>
          <t>Mean-excess and parameter-stability plots</t>
        </is>
      </c>
      <c r="E122" s="16" t="inlineStr">
        <is>
          <t>Sujan</t>
        </is>
      </c>
      <c r="F122" s="16" t="inlineStr">
        <is>
          <t>Done</t>
        </is>
      </c>
      <c r="G122" s="16" t="inlineStr">
        <is>
          <t>Week 2</t>
        </is>
      </c>
      <c r="H122" s="14" t="n"/>
      <c r="I122" s="16" t="inlineStr">
        <is>
          <t>figures/evt_threshold_d26.png (mean excess + ξ stability)</t>
        </is>
      </c>
      <c r="J122" s="16" t="n"/>
      <c r="K122" s="16" t="inlineStr">
        <is>
          <t>figures/evt_threshold_d26.png (mean excess + ξ stability)</t>
        </is>
      </c>
      <c r="L122" s="16" t="inlineStr">
        <is>
          <t>Critical</t>
        </is>
      </c>
      <c r="M122" s="16" t="inlineStr">
        <is>
          <t>T6.01</t>
        </is>
      </c>
      <c r="N122" s="16" t="inlineStr">
        <is>
          <t>DEC D8 · FJ EVT quality gate</t>
        </is>
      </c>
    </row>
    <row r="123" ht="36.75" customHeight="1" s="36">
      <c r="A123" s="8" t="inlineStr">
        <is>
          <t>T8.09</t>
        </is>
      </c>
      <c r="B123" s="8" t="inlineStr">
        <is>
          <t>T8</t>
        </is>
      </c>
      <c r="C123" s="16" t="inlineStr">
        <is>
          <t>EVT and GARCH</t>
        </is>
      </c>
      <c r="D123" s="16" t="inlineStr">
        <is>
          <t>Confidence intervals for ξ, β and EVT VaR/ES</t>
        </is>
      </c>
      <c r="E123" s="16" t="inlineStr">
        <is>
          <t>Sujan</t>
        </is>
      </c>
      <c r="F123" s="16" t="inlineStr">
        <is>
          <t>Done</t>
        </is>
      </c>
      <c r="G123" s="16" t="inlineStr">
        <is>
          <t>Week 2</t>
        </is>
      </c>
      <c r="H123" s="14" t="n"/>
      <c r="I123" s="16" t="inlineStr">
        <is>
          <t>bootstrap intervals for EVT VaR/ES (200 reps on exceedances)</t>
        </is>
      </c>
      <c r="J123" s="16" t="n"/>
      <c r="K123" s="16" t="inlineStr">
        <is>
          <t>bootstrap intervals for EVT VaR/ES (200 reps on exceedances)</t>
        </is>
      </c>
      <c r="L123" s="16" t="inlineStr">
        <is>
          <t>Critical</t>
        </is>
      </c>
      <c r="M123" s="16" t="inlineStr">
        <is>
          <t>T8.04</t>
        </is>
      </c>
      <c r="N123" s="16" t="inlineStr">
        <is>
          <t>BR p.5 · DEC D18</t>
        </is>
      </c>
    </row>
    <row r="124" ht="36.75" customHeight="1" s="36">
      <c r="A124" s="8" t="inlineStr">
        <is>
          <t>T8.10</t>
        </is>
      </c>
      <c r="B124" s="8" t="inlineStr">
        <is>
          <t>T8</t>
        </is>
      </c>
      <c r="C124" s="16" t="inlineStr">
        <is>
          <t>EVT and GARCH</t>
        </is>
      </c>
      <c r="D124" s="16" t="inlineStr">
        <is>
          <t>Rule for EVT at 90% when the quantile falls below the threshold</t>
        </is>
      </c>
      <c r="E124" s="16" t="inlineStr">
        <is>
          <t>Sujan</t>
        </is>
      </c>
      <c r="F124" s="16" t="inlineStr">
        <is>
          <t>Done</t>
        </is>
      </c>
      <c r="G124" s="16" t="inlineStr">
        <is>
          <t>Week 2</t>
        </is>
      </c>
      <c r="H124" s="14" t="n"/>
      <c r="I124" s="16" t="inlineStr">
        <is>
          <t>α ≤ threshold quantile → not applicable (explicit rule + test)</t>
        </is>
      </c>
      <c r="J124" s="16" t="n"/>
      <c r="K124" s="16" t="inlineStr">
        <is>
          <t>α ≤ threshold quantile → not applicable (explicit rule + test)</t>
        </is>
      </c>
      <c r="L124" s="16" t="inlineStr">
        <is>
          <t>High</t>
        </is>
      </c>
      <c r="M124" s="16" t="inlineStr">
        <is>
          <t>T8.04</t>
        </is>
      </c>
      <c r="N124" s="16" t="inlineStr">
        <is>
          <t>REV · BR p.5</t>
        </is>
      </c>
    </row>
    <row r="125" ht="36.75" customHeight="1" s="36">
      <c r="A125" s="8" t="inlineStr">
        <is>
          <t>T8.11</t>
        </is>
      </c>
      <c r="B125" s="8" t="inlineStr">
        <is>
          <t>T8</t>
        </is>
      </c>
      <c r="C125" s="16" t="inlineStr">
        <is>
          <t>EVT and GARCH</t>
        </is>
      </c>
      <c r="D125" s="16" t="inlineStr">
        <is>
          <t>Evaluate VaR/ES/EVT performance on stress windows (2008, 2020)</t>
        </is>
      </c>
      <c r="E125" s="16" t="inlineStr">
        <is>
          <t>Sujan</t>
        </is>
      </c>
      <c r="F125" s="16" t="inlineStr">
        <is>
          <t>Done</t>
        </is>
      </c>
      <c r="G125" s="16" t="inlineStr">
        <is>
          <t>Week 2</t>
        </is>
      </c>
      <c r="H125" s="14" t="n"/>
      <c r="I125" s="16" t="inlineStr">
        <is>
          <t>T10 doc §4: COVID 4 vs 8 exceptions, 2022 3 vs 8 (GARCH-EVT vs historical)</t>
        </is>
      </c>
      <c r="J125" s="16" t="n"/>
      <c r="K125" s="16" t="inlineStr">
        <is>
          <t>T10 doc §4: COVID 4 vs 8 exceptions, 2022 3 vs 8 (GARCH-EVT vs historical)</t>
        </is>
      </c>
      <c r="L125" s="16" t="inlineStr">
        <is>
          <t>Critical</t>
        </is>
      </c>
      <c r="M125" s="16" t="inlineStr">
        <is>
          <t>T10.02 (rolling OOS forecasts)</t>
        </is>
      </c>
      <c r="N125" s="16" t="inlineStr">
        <is>
          <t>BR p.7 · R18 · moved to validation stage</t>
        </is>
      </c>
    </row>
    <row r="126" ht="36.75" customHeight="1" s="36">
      <c r="A126" s="8" t="inlineStr">
        <is>
          <t>T8.12</t>
        </is>
      </c>
      <c r="B126" s="8" t="inlineStr">
        <is>
          <t>T8</t>
        </is>
      </c>
      <c r="C126" s="16" t="inlineStr">
        <is>
          <t>EVT and GARCH</t>
        </is>
      </c>
      <c r="D126" s="16" t="inlineStr">
        <is>
          <t>Feasibility frontier under ERP 3–6% and a resampled frontier</t>
        </is>
      </c>
      <c r="E126" s="16" t="inlineStr">
        <is>
          <t>Sujan</t>
        </is>
      </c>
      <c r="F126" s="16" t="inlineStr">
        <is>
          <t>Not Started</t>
        </is>
      </c>
      <c r="G126" s="16" t="inlineStr">
        <is>
          <t>Week 2</t>
        </is>
      </c>
      <c r="H126" s="14" t="n"/>
      <c r="I126" s="16" t="n"/>
      <c r="J126" s="16" t="n"/>
      <c r="K126" s="16" t="inlineStr">
        <is>
          <t>Sensitivity of §4 table</t>
        </is>
      </c>
      <c r="L126" s="16" t="inlineStr">
        <is>
          <t>Medium</t>
        </is>
      </c>
      <c r="M126" s="16" t="inlineStr">
        <is>
          <t>T4.11</t>
        </is>
      </c>
      <c r="N126" s="16" t="inlineStr">
        <is>
          <t>Research gap G7</t>
        </is>
      </c>
    </row>
    <row r="127" ht="36.75" customHeight="1" s="36">
      <c r="A127" s="8" t="inlineStr">
        <is>
          <t>T9.01</t>
        </is>
      </c>
      <c r="B127" s="8" t="inlineStr">
        <is>
          <t>T9</t>
        </is>
      </c>
      <c r="C127" s="16" t="inlineStr">
        <is>
          <t>Risk budgeting</t>
        </is>
      </c>
      <c r="D127" s="16" t="inlineStr">
        <is>
          <t>Define marginal and component VaR methodology</t>
        </is>
      </c>
      <c r="E127" s="16" t="inlineStr">
        <is>
          <t>Sujan</t>
        </is>
      </c>
      <c r="F127" s="16" t="inlineStr">
        <is>
          <t>Done</t>
        </is>
      </c>
      <c r="G127" s="16" t="inlineStr">
        <is>
          <t>Week 2</t>
        </is>
      </c>
      <c r="H127" s="14" t="n"/>
      <c r="I127" s="16" t="inlineStr">
        <is>
          <t>risk/attribution.py: Euler, scenario-based (ES exact, VaR band) + normal cross-check</t>
        </is>
      </c>
      <c r="J127" s="16" t="n"/>
      <c r="K127" s="16" t="inlineStr">
        <is>
          <t>risk/attribution.py: Euler, scenario-based (ES exact, VaR band) + normal cross-check</t>
        </is>
      </c>
      <c r="L127" s="16" t="inlineStr">
        <is>
          <t>Critical</t>
        </is>
      </c>
      <c r="M127" s="16" t="inlineStr">
        <is>
          <t>T6.05</t>
        </is>
      </c>
      <c r="N127" s="16" t="inlineStr">
        <is>
          <t>PM · BR p.8</t>
        </is>
      </c>
    </row>
    <row r="128" ht="36.75" customHeight="1" s="36">
      <c r="A128" s="8" t="inlineStr">
        <is>
          <t>T9.02</t>
        </is>
      </c>
      <c r="B128" s="8" t="inlineStr">
        <is>
          <t>T9</t>
        </is>
      </c>
      <c r="C128" s="16" t="inlineStr">
        <is>
          <t>Risk budgeting</t>
        </is>
      </c>
      <c r="D128" s="16" t="inlineStr">
        <is>
          <t>Estimate ETF-level marginal VaR and ES contributions</t>
        </is>
      </c>
      <c r="E128" s="16" t="inlineStr">
        <is>
          <t>Sujan</t>
        </is>
      </c>
      <c r="F128" s="16" t="inlineStr">
        <is>
          <t>Done</t>
        </is>
      </c>
      <c r="G128" s="16" t="inlineStr">
        <is>
          <t>Week 2</t>
        </is>
      </c>
      <c r="H128" s="14" t="n"/>
      <c r="I128" s="16" t="inlineStr">
        <is>
          <t>outputs/tables/p2_attribution.csv (6 portfolios × 7 ETFs × 95/99%)</t>
        </is>
      </c>
      <c r="J128" s="16" t="n"/>
      <c r="K128" s="16" t="inlineStr">
        <is>
          <t>outputs/tables/p2_attribution.csv (6 portfolios × 7 ETFs × 95/99%)</t>
        </is>
      </c>
      <c r="L128" s="16" t="inlineStr">
        <is>
          <t>Critical</t>
        </is>
      </c>
      <c r="M128" s="16" t="inlineStr">
        <is>
          <t>T9.01</t>
        </is>
      </c>
      <c r="N128" s="16" t="inlineStr">
        <is>
          <t>PM</t>
        </is>
      </c>
    </row>
    <row r="129" ht="36.75" customHeight="1" s="36">
      <c r="A129" s="8" t="inlineStr">
        <is>
          <t>T9.03</t>
        </is>
      </c>
      <c r="B129" s="8" t="inlineStr">
        <is>
          <t>T9</t>
        </is>
      </c>
      <c r="C129" s="16" t="inlineStr">
        <is>
          <t>Risk budgeting</t>
        </is>
      </c>
      <c r="D129" s="16" t="inlineStr">
        <is>
          <t>Check contribution aggregation and approximations</t>
        </is>
      </c>
      <c r="E129" s="16" t="inlineStr">
        <is>
          <t>Sujan</t>
        </is>
      </c>
      <c r="F129" s="16" t="inlineStr">
        <is>
          <t>Done</t>
        </is>
      </c>
      <c r="G129" s="16" t="inlineStr">
        <is>
          <t>Week 2</t>
        </is>
      </c>
      <c r="H129" s="14" t="n"/>
      <c r="I129" s="16" t="inlineStr">
        <is>
          <t>sum-to-total test (exact for ES/VaR); normal cross-check within 4 pp</t>
        </is>
      </c>
      <c r="J129" s="16" t="n"/>
      <c r="K129" s="16" t="inlineStr">
        <is>
          <t>sum-to-total test (exact for ES/VaR); normal cross-check within 4 pp</t>
        </is>
      </c>
      <c r="L129" s="16" t="inlineStr">
        <is>
          <t>High</t>
        </is>
      </c>
      <c r="M129" s="16" t="inlineStr">
        <is>
          <t>T9.02</t>
        </is>
      </c>
      <c r="N129" s="16" t="inlineStr">
        <is>
          <t>PM</t>
        </is>
      </c>
    </row>
    <row r="130" ht="36.75" customHeight="1" s="36">
      <c r="A130" s="8" t="inlineStr">
        <is>
          <t>T9.04</t>
        </is>
      </c>
      <c r="B130" s="8" t="inlineStr">
        <is>
          <t>T9</t>
        </is>
      </c>
      <c r="C130" s="16" t="inlineStr">
        <is>
          <t>Risk budgeting</t>
        </is>
      </c>
      <c r="D130" s="16" t="inlineStr">
        <is>
          <t>Recommend position-size adjustments and rationale</t>
        </is>
      </c>
      <c r="E130" s="16" t="inlineStr">
        <is>
          <t>Sujan</t>
        </is>
      </c>
      <c r="F130" s="16" t="inlineStr">
        <is>
          <t>Done</t>
        </is>
      </c>
      <c r="G130" s="16" t="inlineStr">
        <is>
          <t>Week 2</t>
        </is>
      </c>
      <c r="H130" s="14" t="n"/>
      <c r="I130" s="16" t="inlineStr">
        <is>
          <t>D27 cap applied in D26 re-selection: SPY 36→20%, EFA 0→9%, XLE 3%, XLK 10% (P2 §6a)</t>
        </is>
      </c>
      <c r="J130" s="16" t="n"/>
      <c r="K130" s="16" t="inlineStr">
        <is>
          <t>D27 cap applied in D26 re-selection: SPY 36→20%, EFA 0→9%, XLE 3%, XLK 10% (P2 §6a)</t>
        </is>
      </c>
      <c r="L130" s="16" t="inlineStr">
        <is>
          <t>Critical</t>
        </is>
      </c>
      <c r="M130" s="16" t="inlineStr">
        <is>
          <t>T9.03</t>
        </is>
      </c>
      <c r="N130" s="16" t="inlineStr">
        <is>
          <t>PM · BR p.8</t>
        </is>
      </c>
    </row>
    <row r="131" ht="36.75" customHeight="1" s="36">
      <c r="A131" s="8" t="inlineStr">
        <is>
          <t>T9.05</t>
        </is>
      </c>
      <c r="B131" s="8" t="inlineStr">
        <is>
          <t>T9</t>
        </is>
      </c>
      <c r="C131" s="16" t="inlineStr">
        <is>
          <t>Risk budgeting</t>
        </is>
      </c>
      <c r="D131" s="16" t="inlineStr">
        <is>
          <t>Risk contribution vs capital weight chart</t>
        </is>
      </c>
      <c r="E131" s="16" t="inlineStr">
        <is>
          <t>Sujan</t>
        </is>
      </c>
      <c r="F131" s="16" t="inlineStr">
        <is>
          <t>Done</t>
        </is>
      </c>
      <c r="G131" s="16" t="inlineStr">
        <is>
          <t>Week 2</t>
        </is>
      </c>
      <c r="H131" s="14" t="n"/>
      <c r="I131" s="16" t="inlineStr">
        <is>
          <t>outputs/figures/risk_vs_weight.png</t>
        </is>
      </c>
      <c r="J131" s="16" t="n"/>
      <c r="K131" s="16" t="inlineStr">
        <is>
          <t>outputs/figures/risk_vs_weight.png</t>
        </is>
      </c>
      <c r="L131" s="16" t="inlineStr">
        <is>
          <t>High</t>
        </is>
      </c>
      <c r="M131" s="16" t="inlineStr">
        <is>
          <t>T9.02</t>
        </is>
      </c>
      <c r="N131" s="16" t="inlineStr">
        <is>
          <t>FJ R07</t>
        </is>
      </c>
    </row>
    <row r="132" ht="36.75" customHeight="1" s="36">
      <c r="A132" s="8" t="inlineStr">
        <is>
          <t>T9.06</t>
        </is>
      </c>
      <c r="B132" s="8" t="inlineStr">
        <is>
          <t>T9</t>
        </is>
      </c>
      <c r="C132" s="16" t="inlineStr">
        <is>
          <t>Risk budgeting</t>
        </is>
      </c>
      <c r="D132" s="16" t="inlineStr">
        <is>
          <t>Set the component-ES concentration limit (draft: no ETF &gt; 40% of ES)</t>
        </is>
      </c>
      <c r="E132" s="16" t="inlineStr">
        <is>
          <t>Sujan</t>
        </is>
      </c>
      <c r="F132" s="16" t="inlineStr">
        <is>
          <t>Done</t>
        </is>
      </c>
      <c r="G132" s="16" t="inlineStr">
        <is>
          <t>Week 2</t>
        </is>
      </c>
      <c r="H132" s="14" t="n"/>
      <c r="I132" s="16" t="inlineStr">
        <is>
          <t>D27 APPROVED 40% (config constraints.component_es_max); 5-cap study research_d27_cap.csv</t>
        </is>
      </c>
      <c r="J132" s="16" t="n"/>
      <c r="K132" s="16" t="inlineStr">
        <is>
          <t>D27 APPROVED 40% (config constraints.component_es_max); 5-cap study research_d27_cap.csv</t>
        </is>
      </c>
      <c r="L132" s="16" t="inlineStr">
        <is>
          <t>High</t>
        </is>
      </c>
      <c r="M132" s="16" t="inlineStr">
        <is>
          <t>T9.02</t>
        </is>
      </c>
      <c r="N132" s="16" t="inlineStr">
        <is>
          <t>Research gap G4</t>
        </is>
      </c>
    </row>
    <row r="133" ht="36.75" customHeight="1" s="36">
      <c r="A133" s="8" t="inlineStr">
        <is>
          <t>T10.01</t>
        </is>
      </c>
      <c r="B133" s="8" t="inlineStr">
        <is>
          <t>T10</t>
        </is>
      </c>
      <c r="C133" s="16" t="inlineStr">
        <is>
          <t>Backtesting</t>
        </is>
      </c>
      <c r="D133" s="16" t="inlineStr">
        <is>
          <t>Define chronological out-of-sample rolling window</t>
        </is>
      </c>
      <c r="E133" s="16" t="inlineStr">
        <is>
          <t>Malindu</t>
        </is>
      </c>
      <c r="F133" s="16" t="inlineStr">
        <is>
          <t>Done</t>
        </is>
      </c>
      <c r="G133" s="16" t="inlineStr">
        <is>
          <t>Weeks 2–3</t>
        </is>
      </c>
      <c r="H133" s="14" t="n"/>
      <c r="I133" s="16" t="inlineStr">
        <is>
          <t>D13 1,000-day window, forecasts from 2015-01-02 (history from 2011); validation 2015–19, test 2020 → (locked)</t>
        </is>
      </c>
      <c r="J133" s="16" t="n"/>
      <c r="K133" s="16" t="inlineStr">
        <is>
          <t>D13 1,000-day window, forecasts from 2015-01-02 (history from 2011); validation 2015–19, test 2020 → (locked)</t>
        </is>
      </c>
      <c r="L133" s="16" t="inlineStr">
        <is>
          <t>Critical</t>
        </is>
      </c>
      <c r="M133" s="16" t="inlineStr">
        <is>
          <t>T2.13, T1.07</t>
        </is>
      </c>
      <c r="N133" s="16" t="inlineStr">
        <is>
          <t>PM · FJ VD01</t>
        </is>
      </c>
    </row>
    <row r="134" ht="36.75" customHeight="1" s="36">
      <c r="A134" s="8" t="inlineStr">
        <is>
          <t>T10.02</t>
        </is>
      </c>
      <c r="B134" s="8" t="inlineStr">
        <is>
          <t>T10</t>
        </is>
      </c>
      <c r="C134" s="16" t="inlineStr">
        <is>
          <t>Backtesting</t>
        </is>
      </c>
      <c r="D134" s="16" t="inlineStr">
        <is>
          <t>Produce date-aligned VaR forecasts without look-ahead</t>
        </is>
      </c>
      <c r="E134" s="16" t="inlineStr">
        <is>
          <t>Malindu</t>
        </is>
      </c>
      <c r="F134" s="16" t="inlineStr">
        <is>
          <t>Done</t>
        </is>
      </c>
      <c r="G134" s="16" t="inlineStr">
        <is>
          <t>Weeks 2–3</t>
        </is>
      </c>
      <c r="H134" s="14" t="n"/>
      <c r="I134" s="16" t="inlineStr">
        <is>
          <t>validation/backtest.rolling_forecasts (data ≤ t−1; GARCH/MC refit 21d) + no-look-ahead unit test</t>
        </is>
      </c>
      <c r="J134" s="16" t="n"/>
      <c r="K134" s="16" t="inlineStr">
        <is>
          <t>validation/backtest.rolling_forecasts (data ≤ t−1; GARCH/MC refit 21d) + no-look-ahead unit test</t>
        </is>
      </c>
      <c r="L134" s="16" t="inlineStr">
        <is>
          <t>Critical</t>
        </is>
      </c>
      <c r="M134" s="16" t="inlineStr">
        <is>
          <t>T10.01, T6.05</t>
        </is>
      </c>
      <c r="N134" s="16" t="inlineStr">
        <is>
          <t>PM · BR p.7</t>
        </is>
      </c>
    </row>
    <row r="135" ht="36.75" customHeight="1" s="36">
      <c r="A135" s="8" t="inlineStr">
        <is>
          <t>T10.03</t>
        </is>
      </c>
      <c r="B135" s="8" t="inlineStr">
        <is>
          <t>T10</t>
        </is>
      </c>
      <c r="C135" s="16" t="inlineStr">
        <is>
          <t>Backtesting</t>
        </is>
      </c>
      <c r="D135" s="16" t="inlineStr">
        <is>
          <t>Count exceptions against the chosen confidence level</t>
        </is>
      </c>
      <c r="E135" s="16" t="inlineStr">
        <is>
          <t>Malindu</t>
        </is>
      </c>
      <c r="F135" s="16" t="inlineStr">
        <is>
          <t>Done</t>
        </is>
      </c>
      <c r="G135" s="16" t="inlineStr">
        <is>
          <t>Weeks 2–3</t>
        </is>
      </c>
      <c r="H135" s="14" t="n"/>
      <c r="I135" s="16" t="inlineStr">
        <is>
          <t>coverage.evaluate (loss &gt; VaR) → backtest_results_validation.csv</t>
        </is>
      </c>
      <c r="J135" s="16" t="n"/>
      <c r="K135" s="16" t="inlineStr">
        <is>
          <t>coverage.evaluate (loss &gt; VaR) → backtest_results_validation.csv</t>
        </is>
      </c>
      <c r="L135" s="16" t="inlineStr">
        <is>
          <t>Critical</t>
        </is>
      </c>
      <c r="M135" s="16" t="inlineStr">
        <is>
          <t>T10.02</t>
        </is>
      </c>
      <c r="N135" s="16" t="inlineStr">
        <is>
          <t>PM</t>
        </is>
      </c>
    </row>
    <row r="136" ht="36.75" customHeight="1" s="36">
      <c r="A136" s="8" t="inlineStr">
        <is>
          <t>T10.04</t>
        </is>
      </c>
      <c r="B136" s="8" t="inlineStr">
        <is>
          <t>T10</t>
        </is>
      </c>
      <c r="C136" s="16" t="inlineStr">
        <is>
          <t>Backtesting</t>
        </is>
      </c>
      <c r="D136" s="16" t="inlineStr">
        <is>
          <t>Perform Kupiec unconditional coverage test</t>
        </is>
      </c>
      <c r="E136" s="16" t="inlineStr">
        <is>
          <t>Malindu</t>
        </is>
      </c>
      <c r="F136" s="16" t="inlineStr">
        <is>
          <t>Done</t>
        </is>
      </c>
      <c r="G136" s="16" t="inlineStr">
        <is>
          <t>Weeks 2–3</t>
        </is>
      </c>
      <c r="H136" s="14" t="n"/>
      <c r="I136" s="16" t="inlineStr">
        <is>
          <t>coverage.kupiec (+ x = 0 case, unit test)</t>
        </is>
      </c>
      <c r="J136" s="16" t="n"/>
      <c r="K136" s="16" t="inlineStr">
        <is>
          <t>coverage.kupiec (+ x = 0 case, unit test)</t>
        </is>
      </c>
      <c r="L136" s="16" t="inlineStr">
        <is>
          <t>Critical</t>
        </is>
      </c>
      <c r="M136" s="16" t="inlineStr">
        <is>
          <t>T10.03</t>
        </is>
      </c>
      <c r="N136" s="16" t="inlineStr">
        <is>
          <t>PM · BR p.7</t>
        </is>
      </c>
    </row>
    <row r="137" ht="36.75" customHeight="1" s="36">
      <c r="A137" s="8" t="inlineStr">
        <is>
          <t>T10.05</t>
        </is>
      </c>
      <c r="B137" s="8" t="inlineStr">
        <is>
          <t>T10</t>
        </is>
      </c>
      <c r="C137" s="16" t="inlineStr">
        <is>
          <t>Backtesting</t>
        </is>
      </c>
      <c r="D137" s="16" t="inlineStr">
        <is>
          <t>Perform Christoffersen independence/coverage tests</t>
        </is>
      </c>
      <c r="E137" s="16" t="inlineStr">
        <is>
          <t>Malindu</t>
        </is>
      </c>
      <c r="F137" s="16" t="inlineStr">
        <is>
          <t>Done</t>
        </is>
      </c>
      <c r="G137" s="16" t="inlineStr">
        <is>
          <t>Weeks 2–3</t>
        </is>
      </c>
      <c r="H137" s="14" t="n"/>
      <c r="I137" s="16" t="inlineStr">
        <is>
          <t>coverage.christoffersen (n₁₁ = 0 via xlogy, unit test)</t>
        </is>
      </c>
      <c r="J137" s="16" t="n"/>
      <c r="K137" s="16" t="inlineStr">
        <is>
          <t>coverage.christoffersen (n₁₁ = 0 via xlogy, unit test)</t>
        </is>
      </c>
      <c r="L137" s="16" t="inlineStr">
        <is>
          <t>Critical</t>
        </is>
      </c>
      <c r="M137" s="16" t="inlineStr">
        <is>
          <t>T10.03</t>
        </is>
      </c>
      <c r="N137" s="16" t="inlineStr">
        <is>
          <t>PM · BR p.7</t>
        </is>
      </c>
    </row>
    <row r="138" ht="36.75" customHeight="1" s="36">
      <c r="A138" s="8" t="inlineStr">
        <is>
          <t>T10.06</t>
        </is>
      </c>
      <c r="B138" s="8" t="inlineStr">
        <is>
          <t>T10</t>
        </is>
      </c>
      <c r="C138" s="16" t="inlineStr">
        <is>
          <t>Backtesting</t>
        </is>
      </c>
      <c r="D138" s="16" t="inlineStr">
        <is>
          <t>Apply Basel traffic light only for appropriate VaR settings</t>
        </is>
      </c>
      <c r="E138" s="16" t="inlineStr">
        <is>
          <t>Malindu</t>
        </is>
      </c>
      <c r="F138" s="16" t="inlineStr">
        <is>
          <t>Done</t>
        </is>
      </c>
      <c r="G138" s="16" t="inlineStr">
        <is>
          <t>Weeks 2–3</t>
        </is>
      </c>
      <c r="H138" s="14" t="n"/>
      <c r="I138" s="16" t="inlineStr">
        <is>
          <t>coverage.basel: 99% only, every 250-day window</t>
        </is>
      </c>
      <c r="J138" s="16" t="n"/>
      <c r="K138" s="16" t="inlineStr">
        <is>
          <t>coverage.basel: 99% only, every 250-day window</t>
        </is>
      </c>
      <c r="L138" s="16" t="inlineStr">
        <is>
          <t>Critical</t>
        </is>
      </c>
      <c r="M138" s="16" t="inlineStr">
        <is>
          <t>T10.03</t>
        </is>
      </c>
      <c r="N138" s="16" t="inlineStr">
        <is>
          <t>PM · BR p.7</t>
        </is>
      </c>
    </row>
    <row r="139" ht="36.75" customHeight="1" s="36">
      <c r="A139" s="8" t="inlineStr">
        <is>
          <t>T10.07</t>
        </is>
      </c>
      <c r="B139" s="8" t="inlineStr">
        <is>
          <t>T10</t>
        </is>
      </c>
      <c r="C139" s="16" t="inlineStr">
        <is>
          <t>Backtesting</t>
        </is>
      </c>
      <c r="D139" s="16" t="inlineStr">
        <is>
          <t>Choose the model on validation data only; freeze before test</t>
        </is>
      </c>
      <c r="E139" s="16" t="inlineStr">
        <is>
          <t>Malindu</t>
        </is>
      </c>
      <c r="F139" s="16" t="inlineStr">
        <is>
          <t>Done</t>
        </is>
      </c>
      <c r="G139" s="16" t="inlineStr">
        <is>
          <t>Weeks 2–3</t>
        </is>
      </c>
      <c r="H139" s="14" t="n"/>
      <c r="I139" s="16" t="inlineStr">
        <is>
          <t>D28 APPROVED: GARCH-EVT frozen (60e67e3) before test; test run once: 22/17.1 exc, p_cc 0.29, no red window</t>
        </is>
      </c>
      <c r="J139" s="16" t="n"/>
      <c r="K139" s="16" t="inlineStr">
        <is>
          <t>D28 APPROVED: GARCH-EVT frozen (60e67e3) before test; test run once: 22/17.1 exc, p_cc 0.29, no red window</t>
        </is>
      </c>
      <c r="L139" s="16" t="inlineStr">
        <is>
          <t>Critical</t>
        </is>
      </c>
      <c r="M139" s="16" t="inlineStr">
        <is>
          <t>T10.04, T10.05</t>
        </is>
      </c>
      <c r="N139" s="16" t="inlineStr">
        <is>
          <t>FJ OOS integrity gate</t>
        </is>
      </c>
    </row>
    <row r="140" ht="36.75" customHeight="1" s="36">
      <c r="A140" s="8" t="inlineStr">
        <is>
          <t>T10.08</t>
        </is>
      </c>
      <c r="B140" s="8" t="inlineStr">
        <is>
          <t>T10</t>
        </is>
      </c>
      <c r="C140" s="16" t="inlineStr">
        <is>
          <t>Backtesting</t>
        </is>
      </c>
      <c r="D140" s="16" t="inlineStr">
        <is>
          <t>Backtest each method and candidate, not only the chosen one</t>
        </is>
      </c>
      <c r="E140" s="16" t="inlineStr">
        <is>
          <t>Malindu</t>
        </is>
      </c>
      <c r="F140" s="16" t="inlineStr">
        <is>
          <t>Done</t>
        </is>
      </c>
      <c r="G140" s="16" t="inlineStr">
        <is>
          <t>Weeks 2–3</t>
        </is>
      </c>
      <c r="H140" s="14" t="n"/>
      <c r="I140" s="16" t="inlineStr">
        <is>
          <t>7 methods × 6 portfolios × 95/99%, validation and test</t>
        </is>
      </c>
      <c r="J140" s="16" t="n"/>
      <c r="K140" s="16" t="inlineStr">
        <is>
          <t>7 methods × 6 portfolios × 95/99%, validation and test</t>
        </is>
      </c>
      <c r="L140" s="16" t="inlineStr">
        <is>
          <t>High</t>
        </is>
      </c>
      <c r="M140" s="16" t="inlineStr">
        <is>
          <t>T10.03</t>
        </is>
      </c>
      <c r="N140" s="16" t="inlineStr">
        <is>
          <t>REV</t>
        </is>
      </c>
    </row>
    <row r="141" ht="36.75" customHeight="1" s="36">
      <c r="A141" s="8" t="inlineStr">
        <is>
          <t>T10.09</t>
        </is>
      </c>
      <c r="B141" s="8" t="inlineStr">
        <is>
          <t>T10</t>
        </is>
      </c>
      <c r="C141" s="16" t="inlineStr">
        <is>
          <t>Backtesting</t>
        </is>
      </c>
      <c r="D141" s="16" t="inlineStr">
        <is>
          <t>Window-length sensitivity (500 vs 1000 days)</t>
        </is>
      </c>
      <c r="E141" s="16" t="inlineStr">
        <is>
          <t>Malindu</t>
        </is>
      </c>
      <c r="F141" s="16" t="inlineStr">
        <is>
          <t>Done</t>
        </is>
      </c>
      <c r="G141" s="16" t="inlineStr">
        <is>
          <t>Weeks 2–3</t>
        </is>
      </c>
      <c r="H141" s="14" t="n"/>
      <c r="I141" s="16" t="inlineStr">
        <is>
          <t>backtest_window_sensitivity.csv: 1,000 beats 500 on FZ0 for every method</t>
        </is>
      </c>
      <c r="J141" s="16" t="n"/>
      <c r="K141" s="16" t="inlineStr">
        <is>
          <t>backtest_window_sensitivity.csv: 1,000 beats 500 on FZ0 for every method</t>
        </is>
      </c>
      <c r="L141" s="16" t="inlineStr">
        <is>
          <t>Medium</t>
        </is>
      </c>
      <c r="M141" s="16" t="inlineStr">
        <is>
          <t>T10.04</t>
        </is>
      </c>
      <c r="N141" s="16" t="inlineStr">
        <is>
          <t>DEC D13</t>
        </is>
      </c>
    </row>
    <row r="142" ht="36.75" customHeight="1" s="36">
      <c r="A142" s="8" t="inlineStr">
        <is>
          <t>T10.10</t>
        </is>
      </c>
      <c r="B142" s="8" t="inlineStr">
        <is>
          <t>T10</t>
        </is>
      </c>
      <c r="C142" s="16" t="inlineStr">
        <is>
          <t>Backtesting</t>
        </is>
      </c>
      <c r="D142" s="16" t="inlineStr">
        <is>
          <t>Recompute tests for any user-selected date range (for the app)</t>
        </is>
      </c>
      <c r="E142" s="16" t="inlineStr">
        <is>
          <t>Malindu</t>
        </is>
      </c>
      <c r="F142" s="16" t="inlineStr">
        <is>
          <t>Done</t>
        </is>
      </c>
      <c r="G142" s="16" t="inlineStr">
        <is>
          <t>Weeks 2–3</t>
        </is>
      </c>
      <c r="H142" s="14" t="n"/>
      <c r="I142" s="16" t="inlineStr">
        <is>
          <t>coverage.evaluate_table(fc, start, end)</t>
        </is>
      </c>
      <c r="J142" s="16" t="n"/>
      <c r="K142" s="16" t="inlineStr">
        <is>
          <t>coverage.evaluate_table(fc, start, end)</t>
        </is>
      </c>
      <c r="L142" s="16" t="inlineStr">
        <is>
          <t>Critical</t>
        </is>
      </c>
      <c r="M142" s="16" t="inlineStr">
        <is>
          <t>T10.04–T10.06</t>
        </is>
      </c>
      <c r="N142" s="16" t="inlineStr">
        <is>
          <t>BR p.5 sidebar</t>
        </is>
      </c>
    </row>
    <row r="143" ht="36.75" customHeight="1" s="36">
      <c r="A143" s="8" t="inlineStr">
        <is>
          <t>T10.11</t>
        </is>
      </c>
      <c r="B143" s="8" t="inlineStr">
        <is>
          <t>T10</t>
        </is>
      </c>
      <c r="C143" s="16" t="inlineStr">
        <is>
          <t>Backtesting</t>
        </is>
      </c>
      <c r="D143" s="16" t="inlineStr">
        <is>
          <t>ES / tail-severity check on exceptions</t>
        </is>
      </c>
      <c r="E143" s="16" t="inlineStr">
        <is>
          <t>Malindu</t>
        </is>
      </c>
      <c r="F143" s="16" t="inlineStr">
        <is>
          <t>Done</t>
        </is>
      </c>
      <c r="G143" s="16" t="inlineStr">
        <is>
          <t>Weeks 2–3</t>
        </is>
      </c>
      <c r="H143" s="14" t="n"/>
      <c r="I143" s="16" t="inlineStr">
        <is>
          <t>severity ratio + Acerbi–Szekely Z2 per model</t>
        </is>
      </c>
      <c r="J143" s="16" t="n"/>
      <c r="K143" s="16" t="inlineStr">
        <is>
          <t>severity ratio + Acerbi–Szekely Z2 per model</t>
        </is>
      </c>
      <c r="L143" s="16" t="inlineStr">
        <is>
          <t>Medium</t>
        </is>
      </c>
      <c r="M143" s="16" t="inlineStr">
        <is>
          <t>T10.03, T7.05</t>
        </is>
      </c>
      <c r="N143" s="16" t="inlineStr">
        <is>
          <t>FJ VD03</t>
        </is>
      </c>
    </row>
    <row r="144" ht="36.75" customHeight="1" s="36">
      <c r="A144" s="8" t="inlineStr">
        <is>
          <t>T10.12</t>
        </is>
      </c>
      <c r="B144" s="8" t="inlineStr">
        <is>
          <t>T10</t>
        </is>
      </c>
      <c r="C144" s="16" t="inlineStr">
        <is>
          <t>Backtesting</t>
        </is>
      </c>
      <c r="D144" s="16" t="inlineStr">
        <is>
          <t>Out-of-sample check of D7 limits (set on train, test on held-out)</t>
        </is>
      </c>
      <c r="E144" s="16" t="inlineStr">
        <is>
          <t>Malindu</t>
        </is>
      </c>
      <c r="F144" s="16" t="inlineStr">
        <is>
          <t>Done</t>
        </is>
      </c>
      <c r="G144" s="16" t="inlineStr">
        <is>
          <t>Weeks 2–3</t>
        </is>
      </c>
      <c r="H144" s="14" t="n"/>
      <c r="I144" s="16" t="inlineStr">
        <is>
          <t>validation/limits.py → limit_stability.csv: P1-train portfolios keep every D7 limit in 2015–19 and 2020–26; 2026 D26 ES99 2.61% in 2020–26 alone (full-cycle 2.24%)</t>
        </is>
      </c>
      <c r="J144" s="16" t="n"/>
      <c r="K144" s="16" t="inlineStr">
        <is>
          <t>validation/limits.py → limit_stability.csv: P1-train portfolios keep every D7 limit in 2015–19 and 2020–26; 2026 D26 ES99 2.61% in 2020–26 alone (full-cycle 2.24%)</t>
        </is>
      </c>
      <c r="L144" s="16" t="inlineStr">
        <is>
          <t>High</t>
        </is>
      </c>
      <c r="M144" s="16" t="inlineStr">
        <is>
          <t>T2.13</t>
        </is>
      </c>
      <c r="N144" s="16" t="inlineStr">
        <is>
          <t>Research gap G8</t>
        </is>
      </c>
    </row>
    <row r="145" ht="36.75" customHeight="1" s="36">
      <c r="A145" s="8" t="inlineStr">
        <is>
          <t>T11.01</t>
        </is>
      </c>
      <c r="B145" s="8" t="inlineStr">
        <is>
          <t>T11</t>
        </is>
      </c>
      <c r="C145" s="16" t="inlineStr">
        <is>
          <t>Stress testing</t>
        </is>
      </c>
      <c r="D145" s="16" t="inlineStr">
        <is>
          <t>Define precise 2008, COVID 2020 and 2022 periods</t>
        </is>
      </c>
      <c r="E145" s="16" t="inlineStr">
        <is>
          <t>Dewmini</t>
        </is>
      </c>
      <c r="F145" s="16" t="inlineStr">
        <is>
          <t>Done</t>
        </is>
      </c>
      <c r="G145" s="16" t="inlineStr">
        <is>
          <t>Weeks 2–3</t>
        </is>
      </c>
      <c r="H145" s="14" t="n"/>
      <c r="I145" s="16" t="inlineStr">
        <is>
          <t>config stress.windows: GFC, taper 2013, COVID, 2022 (S&amp;P peak/trough dates)</t>
        </is>
      </c>
      <c r="J145" s="16" t="n"/>
      <c r="K145" s="16" t="inlineStr">
        <is>
          <t>config stress.windows: GFC, taper 2013, COVID, 2022 (S&amp;P peak/trough dates)</t>
        </is>
      </c>
      <c r="L145" s="16" t="inlineStr">
        <is>
          <t>Critical</t>
        </is>
      </c>
      <c r="M145" s="16" t="inlineStr">
        <is>
          <t>—</t>
        </is>
      </c>
      <c r="N145" s="16" t="inlineStr">
        <is>
          <t>PM · BR p.8 · windows used in scripts/research_d3_d7.py; confirm in D9/T11</t>
        </is>
      </c>
    </row>
    <row r="146" ht="36.75" customHeight="1" s="36">
      <c r="A146" s="8" t="inlineStr">
        <is>
          <t>T11.02</t>
        </is>
      </c>
      <c r="B146" s="8" t="inlineStr">
        <is>
          <t>T11</t>
        </is>
      </c>
      <c r="C146" s="16" t="inlineStr">
        <is>
          <t>Stress testing</t>
        </is>
      </c>
      <c r="D146" s="16" t="inlineStr">
        <is>
          <t>Recalculate portfolio performance in historical windows</t>
        </is>
      </c>
      <c r="E146" s="16" t="inlineStr">
        <is>
          <t>Dewmini</t>
        </is>
      </c>
      <c r="F146" s="16" t="inlineStr">
        <is>
          <t>Done</t>
        </is>
      </c>
      <c r="G146" s="16" t="inlineStr">
        <is>
          <t>Weeks 2–3</t>
        </is>
      </c>
      <c r="H146" s="14" t="n"/>
      <c r="I146" s="16" t="inlineStr">
        <is>
          <t>stress.replay → stress_results.csv (window loss, worst day, recovery)</t>
        </is>
      </c>
      <c r="J146" s="16" t="n"/>
      <c r="K146" s="16" t="inlineStr">
        <is>
          <t>stress.replay → stress_results.csv (window loss, worst day, recovery)</t>
        </is>
      </c>
      <c r="L146" s="16" t="inlineStr">
        <is>
          <t>Critical</t>
        </is>
      </c>
      <c r="M146" s="16" t="inlineStr">
        <is>
          <t>T11.01, T4.16</t>
        </is>
      </c>
      <c r="N146" s="16" t="inlineStr">
        <is>
          <t>PM · FJ VD04</t>
        </is>
      </c>
    </row>
    <row r="147" ht="36.75" customHeight="1" s="36">
      <c r="A147" s="8" t="inlineStr">
        <is>
          <t>T11.03</t>
        </is>
      </c>
      <c r="B147" s="8" t="inlineStr">
        <is>
          <t>T11</t>
        </is>
      </c>
      <c r="C147" s="16" t="inlineStr">
        <is>
          <t>Stress testing</t>
        </is>
      </c>
      <c r="D147" s="16" t="inlineStr">
        <is>
          <t>Design one plausible hypothetical macro/market shock</t>
        </is>
      </c>
      <c r="E147" s="16" t="inlineStr">
        <is>
          <t>Dewmini</t>
        </is>
      </c>
      <c r="F147" s="16" t="inlineStr">
        <is>
          <t>Done</t>
        </is>
      </c>
      <c r="G147" s="16" t="inlineStr">
        <is>
          <t>Weeks 2–3</t>
        </is>
      </c>
      <c r="H147" s="14" t="n"/>
      <c r="I147" s="16" t="inlineStr">
        <is>
          <t>D9 APPROVED: stagflation SPY −25%, 10y +200bp, BE +100bp (+ oil/gold variant); D26 loss 16.7%</t>
        </is>
      </c>
      <c r="J147" s="16" t="n"/>
      <c r="K147" s="16" t="inlineStr">
        <is>
          <t>D9 APPROVED: stagflation SPY −25%, 10y +200bp, BE +100bp (+ oil/gold variant); D26 loss 16.7%</t>
        </is>
      </c>
      <c r="L147" s="16" t="inlineStr">
        <is>
          <t>Critical</t>
        </is>
      </c>
      <c r="M147" s="16" t="inlineStr">
        <is>
          <t>T1.08 (D9)</t>
        </is>
      </c>
      <c r="N147" s="16" t="inlineStr">
        <is>
          <t>PM · BR p.8</t>
        </is>
      </c>
    </row>
    <row r="148" ht="36.75" customHeight="1" s="36">
      <c r="A148" s="8" t="inlineStr">
        <is>
          <t>T11.04</t>
        </is>
      </c>
      <c r="B148" s="8" t="inlineStr">
        <is>
          <t>T11</t>
        </is>
      </c>
      <c r="C148" s="16" t="inlineStr">
        <is>
          <t>Stress testing</t>
        </is>
      </c>
      <c r="D148" s="16" t="inlineStr">
        <is>
          <t>Estimate ETF reactions and document assumptions</t>
        </is>
      </c>
      <c r="E148" s="16" t="inlineStr">
        <is>
          <t>Dewmini</t>
        </is>
      </c>
      <c r="F148" s="16" t="inlineStr">
        <is>
          <t>Done</t>
        </is>
      </c>
      <c r="G148" s="16" t="inlineStr">
        <is>
          <t>Weeks 2–3</t>
        </is>
      </c>
      <c r="H148" s="14" t="n"/>
      <c r="I148" s="16" t="inlineStr">
        <is>
          <t>stress.factor_betas (SPY, Δ10y, Δbreakeven; monthly OLS) → stress_factor_betas.csv</t>
        </is>
      </c>
      <c r="J148" s="16" t="n"/>
      <c r="K148" s="16" t="inlineStr">
        <is>
          <t>stress.factor_betas (SPY, Δ10y, Δbreakeven; monthly OLS) → stress_factor_betas.csv</t>
        </is>
      </c>
      <c r="L148" s="16" t="inlineStr">
        <is>
          <t>Critical</t>
        </is>
      </c>
      <c r="M148" s="16" t="inlineStr">
        <is>
          <t>T11.03, T2.09</t>
        </is>
      </c>
      <c r="N148" s="16" t="inlineStr">
        <is>
          <t>PM</t>
        </is>
      </c>
    </row>
    <row r="149" ht="36.75" customHeight="1" s="36">
      <c r="A149" s="8" t="inlineStr">
        <is>
          <t>T11.05</t>
        </is>
      </c>
      <c r="B149" s="8" t="inlineStr">
        <is>
          <t>T11</t>
        </is>
      </c>
      <c r="C149" s="16" t="inlineStr">
        <is>
          <t>Stress testing</t>
        </is>
      </c>
      <c r="D149" s="16" t="inlineStr">
        <is>
          <t>Summarize losses, vulnerabilities and possible adjustments</t>
        </is>
      </c>
      <c r="E149" s="16" t="inlineStr">
        <is>
          <t>Dewmini</t>
        </is>
      </c>
      <c r="F149" s="16" t="inlineStr">
        <is>
          <t>Done</t>
        </is>
      </c>
      <c r="G149" s="16" t="inlineStr">
        <is>
          <t>Weeks 2–3</t>
        </is>
      </c>
      <c r="H149" s="14" t="n"/>
      <c r="I149" s="16" t="inlineStr">
        <is>
          <t>research doc T11 §2–4 (% NAV and USD)</t>
        </is>
      </c>
      <c r="J149" s="16" t="n"/>
      <c r="K149" s="16" t="inlineStr">
        <is>
          <t>research doc T11 §2–4 (% NAV and USD)</t>
        </is>
      </c>
      <c r="L149" s="16" t="inlineStr">
        <is>
          <t>Critical</t>
        </is>
      </c>
      <c r="M149" s="16" t="inlineStr">
        <is>
          <t>T11.02, T11.04</t>
        </is>
      </c>
      <c r="N149" s="16" t="inlineStr">
        <is>
          <t>PM · FJ VD06</t>
        </is>
      </c>
    </row>
    <row r="150" ht="36.75" customHeight="1" s="36">
      <c r="A150" s="8" t="inlineStr">
        <is>
          <t>T11.06</t>
        </is>
      </c>
      <c r="B150" s="8" t="inlineStr">
        <is>
          <t>T11</t>
        </is>
      </c>
      <c r="C150" s="16" t="inlineStr">
        <is>
          <t>Stress testing</t>
        </is>
      </c>
      <c r="D150" s="16" t="inlineStr">
        <is>
          <t>Asset-level stress attribution: which ETFs drive the loss</t>
        </is>
      </c>
      <c r="E150" s="16" t="inlineStr">
        <is>
          <t>Dewmini</t>
        </is>
      </c>
      <c r="F150" s="16" t="inlineStr">
        <is>
          <t>Done</t>
        </is>
      </c>
      <c r="G150" s="16" t="inlineStr">
        <is>
          <t>Weeks 2–3</t>
        </is>
      </c>
      <c r="H150" s="14" t="n"/>
      <c r="I150" s="16" t="inlineStr">
        <is>
          <t>stress_contributions.csv: GFC SPY −10.7pp, AGG +4.2pp; 2022 AGG −8.7pp</t>
        </is>
      </c>
      <c r="J150" s="16" t="n"/>
      <c r="K150" s="16" t="inlineStr">
        <is>
          <t>stress_contributions.csv: GFC SPY −10.7pp, AGG +4.2pp; 2022 AGG −8.7pp</t>
        </is>
      </c>
      <c r="L150" s="16" t="inlineStr">
        <is>
          <t>High</t>
        </is>
      </c>
      <c r="M150" s="16" t="inlineStr">
        <is>
          <t>T11.05</t>
        </is>
      </c>
      <c r="N150" s="16" t="inlineStr">
        <is>
          <t>FJ VD06 joint-loss</t>
        </is>
      </c>
    </row>
    <row r="151" ht="36.75" customHeight="1" s="36">
      <c r="A151" s="8" t="inlineStr">
        <is>
          <t>T11.07</t>
        </is>
      </c>
      <c r="B151" s="8" t="inlineStr">
        <is>
          <t>T11</t>
        </is>
      </c>
      <c r="C151" s="16" t="inlineStr">
        <is>
          <t>Stress testing</t>
        </is>
      </c>
      <c r="D151" s="16" t="inlineStr">
        <is>
          <t>Correlation / joint losses under stress vs calm</t>
        </is>
      </c>
      <c r="E151" s="16" t="inlineStr">
        <is>
          <t>Dewmini</t>
        </is>
      </c>
      <c r="F151" s="16" t="inlineStr">
        <is>
          <t>Done</t>
        </is>
      </c>
      <c r="G151" s="16" t="inlineStr">
        <is>
          <t>Weeks 2–3</t>
        </is>
      </c>
      <c r="H151" s="14" t="n"/>
      <c r="I151" s="16" t="inlineStr">
        <is>
          <t>stress_correlations.csv: SPY–EFA 0.85→0.93, SPY–AGG −0.05→+0.06</t>
        </is>
      </c>
      <c r="J151" s="16" t="n"/>
      <c r="K151" s="16" t="inlineStr">
        <is>
          <t>stress_correlations.csv: SPY–EFA 0.85→0.93, SPY–AGG −0.05→+0.06</t>
        </is>
      </c>
      <c r="L151" s="16" t="inlineStr">
        <is>
          <t>High</t>
        </is>
      </c>
      <c r="M151" s="16" t="inlineStr">
        <is>
          <t>T11.02</t>
        </is>
      </c>
      <c r="N151" s="16" t="inlineStr">
        <is>
          <t>FJ joint-loss stress</t>
        </is>
      </c>
    </row>
    <row r="152" ht="36.75" customHeight="1" s="36">
      <c r="A152" s="8" t="inlineStr">
        <is>
          <t>T11.08</t>
        </is>
      </c>
      <c r="B152" s="8" t="inlineStr">
        <is>
          <t>T11</t>
        </is>
      </c>
      <c r="C152" s="16" t="inlineStr">
        <is>
          <t>Stress testing</t>
        </is>
      </c>
      <c r="D152" s="16" t="inlineStr">
        <is>
          <t>AGG rate sensitivity estimated from DGS10 (no external duration data)</t>
        </is>
      </c>
      <c r="E152" s="16" t="inlineStr">
        <is>
          <t>Dewmini</t>
        </is>
      </c>
      <c r="F152" s="16" t="inlineStr">
        <is>
          <t>Done</t>
        </is>
      </c>
      <c r="G152" s="16" t="inlineStr">
        <is>
          <t>Weeks 2–3</t>
        </is>
      </c>
      <c r="H152" s="14" t="n"/>
      <c r="I152" s="16" t="inlineStr">
        <is>
          <t>AGG β to 10y = −0.049/pp (≈5y duration)</t>
        </is>
      </c>
      <c r="J152" s="16" t="n"/>
      <c r="K152" s="16" t="inlineStr">
        <is>
          <t>AGG β to 10y = −0.049/pp (≈5y duration)</t>
        </is>
      </c>
      <c r="L152" s="16" t="inlineStr">
        <is>
          <t>Medium</t>
        </is>
      </c>
      <c r="M152" s="16" t="inlineStr">
        <is>
          <t>T2.09</t>
        </is>
      </c>
      <c r="N152" s="16" t="inlineStr">
        <is>
          <t>FJ AGG rate-risk · REV</t>
        </is>
      </c>
    </row>
    <row r="153" ht="36.75" customHeight="1" s="36">
      <c r="A153" s="8" t="inlineStr">
        <is>
          <t>T11.09</t>
        </is>
      </c>
      <c r="B153" s="8" t="inlineStr">
        <is>
          <t>T11</t>
        </is>
      </c>
      <c r="C153" s="16" t="inlineStr">
        <is>
          <t>Stress testing</t>
        </is>
      </c>
      <c r="D153" s="16" t="inlineStr">
        <is>
          <t>ETF liquidity under stress (e.g. AGG −7.1% on 2008-10-10)</t>
        </is>
      </c>
      <c r="E153" s="16" t="inlineStr">
        <is>
          <t>Dewmini</t>
        </is>
      </c>
      <c r="F153" s="16" t="inlineStr">
        <is>
          <t>Done</t>
        </is>
      </c>
      <c r="G153" s="16" t="inlineStr">
        <is>
          <t>Weeks 2–3</t>
        </is>
      </c>
      <c r="H153" s="14" t="n"/>
      <c r="I153" s="16" t="inlineStr">
        <is>
          <t>AGG −6.8% 2008-10-10, −4.0% 2020-03-12: liquidity note in T11 §3</t>
        </is>
      </c>
      <c r="J153" s="16" t="n"/>
      <c r="K153" s="16" t="inlineStr">
        <is>
          <t>AGG −6.8% 2008-10-10, −4.0% 2020-03-12: liquidity note in T11 §3</t>
        </is>
      </c>
      <c r="L153" s="16" t="inlineStr">
        <is>
          <t>Medium</t>
        </is>
      </c>
      <c r="M153" s="16" t="inlineStr">
        <is>
          <t>T2.11</t>
        </is>
      </c>
      <c r="N153" s="16" t="inlineStr">
        <is>
          <t>FJ exit gate · REV</t>
        </is>
      </c>
    </row>
    <row r="154" ht="36.75" customHeight="1" s="36">
      <c r="A154" s="8" t="inlineStr">
        <is>
          <t>T11.10</t>
        </is>
      </c>
      <c r="B154" s="8" t="inlineStr">
        <is>
          <t>T11</t>
        </is>
      </c>
      <c r="C154" s="16" t="inlineStr">
        <is>
          <t>Stress testing</t>
        </is>
      </c>
      <c r="D154" s="16" t="inlineStr">
        <is>
          <t>Check every scenario against client risk limits</t>
        </is>
      </c>
      <c r="E154" s="16" t="inlineStr">
        <is>
          <t>Dewmini</t>
        </is>
      </c>
      <c r="F154" s="16" t="inlineStr">
        <is>
          <t>Done</t>
        </is>
      </c>
      <c r="G154" s="16" t="inlineStr">
        <is>
          <t>Weeks 2–3</t>
        </is>
      </c>
      <c r="H154" s="14" t="n"/>
      <c r="I154" s="16" t="inlineStr">
        <is>
          <t>breach_table: no breach; GFC binding (24.5% vs 25%)</t>
        </is>
      </c>
      <c r="J154" s="16" t="n"/>
      <c r="K154" s="16" t="inlineStr">
        <is>
          <t>breach_table: no breach; GFC binding (24.5% vs 25%)</t>
        </is>
      </c>
      <c r="L154" s="16" t="inlineStr">
        <is>
          <t>Critical</t>
        </is>
      </c>
      <c r="M154" s="16" t="inlineStr">
        <is>
          <t>T11.05, T3.04</t>
        </is>
      </c>
      <c r="N154" s="16" t="inlineStr">
        <is>
          <t>FJ VD06</t>
        </is>
      </c>
    </row>
    <row r="155" ht="36.75" customHeight="1" s="36">
      <c r="A155" s="8" t="inlineStr">
        <is>
          <t>T11.11</t>
        </is>
      </c>
      <c r="B155" s="8" t="inlineStr">
        <is>
          <t>T11</t>
        </is>
      </c>
      <c r="C155" s="16" t="inlineStr">
        <is>
          <t>Stress testing</t>
        </is>
      </c>
      <c r="D155" s="16" t="inlineStr">
        <is>
          <t>Optional: longer-history crises via disclosed proxies (2000–02, 1994)</t>
        </is>
      </c>
      <c r="E155" s="16" t="inlineStr">
        <is>
          <t>Dewmini</t>
        </is>
      </c>
      <c r="F155" s="16" t="inlineStr">
        <is>
          <t>Not Started</t>
        </is>
      </c>
      <c r="G155" s="16" t="inlineStr">
        <is>
          <t>Weeks 2–3</t>
        </is>
      </c>
      <c r="H155" s="14" t="n"/>
      <c r="I155" s="16" t="n"/>
      <c r="J155" s="16" t="n"/>
      <c r="K155" s="16" t="inlineStr">
        <is>
          <t>Proxy scenario losses</t>
        </is>
      </c>
      <c r="L155" s="16" t="inlineStr">
        <is>
          <t>Low</t>
        </is>
      </c>
      <c r="M155" s="16" t="inlineStr">
        <is>
          <t>T11.02</t>
        </is>
      </c>
      <c r="N155" s="16" t="inlineStr">
        <is>
          <t>Research gap G2</t>
        </is>
      </c>
    </row>
    <row r="156" ht="36.75" customHeight="1" s="36">
      <c r="A156" s="8" t="inlineStr">
        <is>
          <t>T11.12</t>
        </is>
      </c>
      <c r="B156" s="8" t="inlineStr">
        <is>
          <t>T11</t>
        </is>
      </c>
      <c r="C156" s="16" t="inlineStr">
        <is>
          <t>Stress testing</t>
        </is>
      </c>
      <c r="D156" s="16" t="inlineStr">
        <is>
          <t>Research current macro/market vulnerabilities (oil, Fed, yields, credit, USD, AI valuations, stock–bond correlation)</t>
        </is>
      </c>
      <c r="E156" s="16" t="inlineStr">
        <is>
          <t>Dewmini</t>
        </is>
      </c>
      <c r="F156" s="16" t="inlineStr">
        <is>
          <t>Done</t>
        </is>
      </c>
      <c r="G156" s="16" t="inlineStr">
        <is>
          <t>Weeks 2–3</t>
        </is>
      </c>
      <c r="H156" s="14" t="n"/>
      <c r="I156" s="16" t="inlineStr">
        <is>
          <t>Design report §1 (tagged V/H/F/N/A, sources dated)</t>
        </is>
      </c>
      <c r="J156" s="16" t="n"/>
      <c r="K156" s="16" t="inlineStr">
        <is>
          <t>Design report §1 (tagged V/H/F/N/A, sources dated)</t>
        </is>
      </c>
      <c r="L156" s="16" t="inlineStr">
        <is>
          <t>Critical</t>
        </is>
      </c>
      <c r="M156" s="16" t="inlineStr">
        <is>
          <t>T11.03</t>
        </is>
      </c>
      <c r="N156" s="16" t="inlineStr">
        <is>
          <t>User brief 2026-10-29</t>
        </is>
      </c>
    </row>
    <row r="157" ht="36.75" customHeight="1" s="36">
      <c r="A157" s="8" t="inlineStr">
        <is>
          <t>T11.13</t>
        </is>
      </c>
      <c r="B157" s="8" t="inlineStr">
        <is>
          <t>T11</t>
        </is>
      </c>
      <c r="C157" s="16" t="inlineStr">
        <is>
          <t>Stress testing</t>
        </is>
      </c>
      <c r="D157" s="16" t="inlineStr">
        <is>
          <t>Compare candidate hypothetical scenarios (energy stagflation, AI unwind/recession, term premium, EM/USD)</t>
        </is>
      </c>
      <c r="E157" s="16" t="inlineStr">
        <is>
          <t>Dewmini</t>
        </is>
      </c>
      <c r="F157" s="16" t="inlineStr">
        <is>
          <t>Done</t>
        </is>
      </c>
      <c r="G157" s="16" t="inlineStr">
        <is>
          <t>Weeks 2–3</t>
        </is>
      </c>
      <c r="H157" s="14" t="n"/>
      <c r="I157" s="16" t="inlineStr">
        <is>
          <t>Design report §2 + recommendation</t>
        </is>
      </c>
      <c r="J157" s="16" t="n"/>
      <c r="K157" s="16" t="inlineStr">
        <is>
          <t>Design report §2 + recommendation</t>
        </is>
      </c>
      <c r="L157" s="16" t="inlineStr">
        <is>
          <t>Critical</t>
        </is>
      </c>
      <c r="M157" s="16" t="inlineStr">
        <is>
          <t>T11.12</t>
        </is>
      </c>
      <c r="N157" s="16" t="inlineStr">
        <is>
          <t>User brief</t>
        </is>
      </c>
    </row>
    <row r="158" ht="36.75" customHeight="1" s="36">
      <c r="A158" s="8" t="inlineStr">
        <is>
          <t>T11.14</t>
        </is>
      </c>
      <c r="B158" s="8" t="inlineStr">
        <is>
          <t>T11</t>
        </is>
      </c>
      <c r="C158" s="16" t="inlineStr">
        <is>
          <t>Stress testing</t>
        </is>
      </c>
      <c r="D158" s="16" t="inlineStr">
        <is>
          <t>Download and disclose new FRED stress factors (DFII10, BAA10Y, Brent/WTI, DTWEXBGS, VIXCLS, DGS2)</t>
        </is>
      </c>
      <c r="E158" s="16" t="inlineStr">
        <is>
          <t>Dewmini</t>
        </is>
      </c>
      <c r="F158" s="16" t="inlineStr">
        <is>
          <t>Done</t>
        </is>
      </c>
      <c r="G158" s="16" t="inlineStr">
        <is>
          <t>Weeks 2–3</t>
        </is>
      </c>
      <c r="H158" s="14" t="n"/>
      <c r="I158" s="16" t="inlineStr">
        <is>
          <t>7 FRED stress factors in config + data stage → stress_factors_monthly.csv; disclosed in README and data/README</t>
        </is>
      </c>
      <c r="J158" s="16" t="n"/>
      <c r="K158" s="16" t="inlineStr">
        <is>
          <t>7 FRED stress factors in config + data stage → stress_factors_monthly.csv; disclosed in README and data/README</t>
        </is>
      </c>
      <c r="L158" s="16" t="inlineStr">
        <is>
          <t>High</t>
        </is>
      </c>
      <c r="M158" s="16" t="inlineStr">
        <is>
          <t>T2.09</t>
        </is>
      </c>
      <c r="N158" s="16" t="inlineStr">
        <is>
          <t>Snapshots saved 2026-10-29; pipeline wiring pending</t>
        </is>
      </c>
    </row>
    <row r="159" ht="36.75" customHeight="1" s="36">
      <c r="A159" s="8" t="inlineStr">
        <is>
          <t>T11.15</t>
        </is>
      </c>
      <c r="B159" s="8" t="inlineStr">
        <is>
          <t>T11</t>
        </is>
      </c>
      <c r="C159" s="16" t="inlineStr">
        <is>
          <t>Stress testing</t>
        </is>
      </c>
      <c r="D159" s="16" t="inlineStr">
        <is>
          <t>Calibrate central and severe factor shocks from history, current levels and published scenarios</t>
        </is>
      </c>
      <c r="E159" s="16" t="inlineStr">
        <is>
          <t>Dewmini</t>
        </is>
      </c>
      <c r="F159" s="16" t="inlineStr">
        <is>
          <t>Done</t>
        </is>
      </c>
      <c r="G159" s="16" t="inlineStr">
        <is>
          <t>Weeks 2–3</t>
        </is>
      </c>
      <c r="H159" s="14" t="n"/>
      <c r="I159" s="16" t="inlineStr">
        <is>
          <t>D9 v2 APPROVED 2026-10-29; config stress.hypothetical</t>
        </is>
      </c>
      <c r="J159" s="16" t="n"/>
      <c r="K159" s="16" t="inlineStr">
        <is>
          <t>D9 v2 APPROVED 2026-10-29; config stress.hypothetical</t>
        </is>
      </c>
      <c r="L159" s="16" t="inlineStr">
        <is>
          <t>Critical</t>
        </is>
      </c>
      <c r="M159" s="16" t="inlineStr">
        <is>
          <t>T11.12</t>
        </is>
      </c>
      <c r="N159" s="16" t="inlineStr">
        <is>
          <t>Awaiting D9 v2 approval</t>
        </is>
      </c>
    </row>
    <row r="160" ht="36.75" customHeight="1" s="36">
      <c r="A160" s="8" t="inlineStr">
        <is>
          <t>T11.16</t>
        </is>
      </c>
      <c r="B160" s="8" t="inlineStr">
        <is>
          <t>T11</t>
        </is>
      </c>
      <c r="C160" s="16" t="inlineStr">
        <is>
          <t>Stress testing</t>
        </is>
      </c>
      <c r="D160" s="16" t="inlineStr">
        <is>
          <t>Six-factor ETF response model: full vs stress betas, SEs; reject unconditional oil→equity mapping</t>
        </is>
      </c>
      <c r="E160" s="16" t="inlineStr">
        <is>
          <t>Dewmini</t>
        </is>
      </c>
      <c r="F160" s="16" t="inlineStr">
        <is>
          <t>Done</t>
        </is>
      </c>
      <c r="G160" s="16" t="inlineStr">
        <is>
          <t>Weeks 2–3</t>
        </is>
      </c>
      <c r="H160" s="14" t="n"/>
      <c r="I160" s="16" t="inlineStr">
        <is>
          <t>Design report §4.3</t>
        </is>
      </c>
      <c r="J160" s="16" t="n"/>
      <c r="K160" s="16" t="inlineStr">
        <is>
          <t>Design report §4.3</t>
        </is>
      </c>
      <c r="L160" s="16" t="inlineStr">
        <is>
          <t>Critical</t>
        </is>
      </c>
      <c r="M160" s="16" t="inlineStr">
        <is>
          <t>T11.14</t>
        </is>
      </c>
      <c r="N160" s="16" t="inlineStr">
        <is>
          <t>Research script; module pending</t>
        </is>
      </c>
    </row>
    <row r="161" ht="36.75" customHeight="1" s="36">
      <c r="A161" s="8" t="inlineStr">
        <is>
          <t>T11.17</t>
        </is>
      </c>
      <c r="B161" s="8" t="inlineStr">
        <is>
          <t>T11</t>
        </is>
      </c>
      <c r="C161" s="16" t="inlineStr">
        <is>
          <t>Stress testing</t>
        </is>
      </c>
      <c r="D161" s="16" t="inlineStr">
        <is>
          <t>Validate factor model by back-casting six episodes (2008, 2020, 2022, Mar 2026)</t>
        </is>
      </c>
      <c r="E161" s="16" t="inlineStr">
        <is>
          <t>Dewmini</t>
        </is>
      </c>
      <c r="F161" s="16" t="inlineStr">
        <is>
          <t>Done</t>
        </is>
      </c>
      <c r="G161" s="16" t="inlineStr">
        <is>
          <t>Weeks 2–3</t>
        </is>
      </c>
      <c r="H161" s="14" t="n"/>
      <c r="I161" s="16" t="inlineStr">
        <is>
          <t>Back-cast table; XLE/GLD flagged unreliable</t>
        </is>
      </c>
      <c r="J161" s="16" t="n"/>
      <c r="K161" s="16" t="inlineStr">
        <is>
          <t>Back-cast table; XLE/GLD flagged unreliable</t>
        </is>
      </c>
      <c r="L161" s="16" t="inlineStr">
        <is>
          <t>High</t>
        </is>
      </c>
      <c r="M161" s="16" t="inlineStr">
        <is>
          <t>T11.16</t>
        </is>
      </c>
      <c r="N161" s="16" t="inlineStr">
        <is>
          <t>Research script; test pending</t>
        </is>
      </c>
    </row>
    <row r="162" ht="36.75" customHeight="1" s="36">
      <c r="A162" s="8" t="inlineStr">
        <is>
          <t>T11.18</t>
        </is>
      </c>
      <c r="B162" s="8" t="inlineStr">
        <is>
          <t>T11</t>
        </is>
      </c>
      <c r="C162" s="16" t="inlineStr">
        <is>
          <t>Stress testing</t>
        </is>
      </c>
      <c r="D162" s="16" t="inlineStr">
        <is>
          <t>Implement validation/hypothetical.py (panel, betas, back-cast, shocks, instant impact)</t>
        </is>
      </c>
      <c r="E162" s="16" t="inlineStr">
        <is>
          <t>Dewmini</t>
        </is>
      </c>
      <c r="F162" s="16" t="inlineStr">
        <is>
          <t>Done</t>
        </is>
      </c>
      <c r="G162" s="16" t="inlineStr">
        <is>
          <t>Weeks 2–3</t>
        </is>
      </c>
      <c r="H162" s="14" t="n"/>
      <c r="I162" s="16" t="inlineStr">
        <is>
          <t>validation/hypothetical.py + run_hypothetical; 10 tests; stress_hyp_*.csv</t>
        </is>
      </c>
      <c r="J162" s="16" t="n"/>
      <c r="K162" s="16" t="inlineStr">
        <is>
          <t>validation/hypothetical.py + run_hypothetical; 10 tests; stress_hyp_*.csv</t>
        </is>
      </c>
      <c r="L162" s="16" t="inlineStr">
        <is>
          <t>Critical</t>
        </is>
      </c>
      <c r="M162" s="16" t="inlineStr">
        <is>
          <t>D9 v2</t>
        </is>
      </c>
      <c r="N162" s="16" t="inlineStr">
        <is>
          <t>Design report §8</t>
        </is>
      </c>
    </row>
    <row r="163" ht="36.75" customHeight="1" s="36">
      <c r="A163" s="8" t="inlineStr">
        <is>
          <t>T11.19</t>
        </is>
      </c>
      <c r="B163" s="8" t="inlineStr">
        <is>
          <t>T11</t>
        </is>
      </c>
      <c r="C163" s="16" t="inlineStr">
        <is>
          <t>Stress testing</t>
        </is>
      </c>
      <c r="D163" s="16" t="inlineStr">
        <is>
          <t>12-month scenario path: quarterly rebalancing, costs, D24 spending, liquidity</t>
        </is>
      </c>
      <c r="E163" s="16" t="inlineStr">
        <is>
          <t>Dewmini</t>
        </is>
      </c>
      <c r="F163" s="16" t="inlineStr">
        <is>
          <t>Done</t>
        </is>
      </c>
      <c r="G163" s="16" t="inlineStr">
        <is>
          <t>Weeks 2–3</t>
        </is>
      </c>
      <c r="H163" s="14" t="n"/>
      <c r="I163" s="16" t="inlineStr">
        <is>
          <t>stress_hyp_paths.csv: A severe worst −19.3%, spending $399k (−6.7% real), AGG 12 yrs of spending</t>
        </is>
      </c>
      <c r="J163" s="16" t="n"/>
      <c r="K163" s="16" t="inlineStr">
        <is>
          <t>stress_hyp_paths.csv: A severe worst −19.3%, spending $399k (−6.7% real), AGG 12 yrs of spending</t>
        </is>
      </c>
      <c r="L163" s="16" t="inlineStr">
        <is>
          <t>High</t>
        </is>
      </c>
      <c r="M163" s="16" t="inlineStr">
        <is>
          <t>T11.18</t>
        </is>
      </c>
      <c r="N163" s="16" t="inlineStr">
        <is>
          <t>Prototype in design report §6.2</t>
        </is>
      </c>
    </row>
    <row r="164" ht="36.75" customHeight="1" s="36">
      <c r="A164" s="8" t="inlineStr">
        <is>
          <t>T11.20</t>
        </is>
      </c>
      <c r="B164" s="8" t="inlineStr">
        <is>
          <t>T11</t>
        </is>
      </c>
      <c r="C164" s="16" t="inlineStr">
        <is>
          <t>Stress testing</t>
        </is>
      </c>
      <c r="D164" s="16" t="inlineStr">
        <is>
          <t>Robustness: Monte Carlo over shock ranges and beta SEs; one-at-a-time; XLE/GLD variants</t>
        </is>
      </c>
      <c r="E164" s="16" t="inlineStr">
        <is>
          <t>Dewmini</t>
        </is>
      </c>
      <c r="F164" s="16" t="inlineStr">
        <is>
          <t>Done</t>
        </is>
      </c>
      <c r="G164" s="16" t="inlineStr">
        <is>
          <t>Weeks 2–3</t>
        </is>
      </c>
      <c r="H164" s="14" t="n"/>
      <c r="I164" s="16" t="inlineStr">
        <is>
          <t>stress_hyp_sensitivity.csv: MC 99th pct 16.1%; SPY ×1.5 → 25.7% (only breach)</t>
        </is>
      </c>
      <c r="J164" s="16" t="n"/>
      <c r="K164" s="16" t="inlineStr">
        <is>
          <t>stress_hyp_sensitivity.csv: MC 99th pct 16.1%; SPY ×1.5 → 25.7% (only breach)</t>
        </is>
      </c>
      <c r="L164" s="16" t="inlineStr">
        <is>
          <t>High</t>
        </is>
      </c>
      <c r="M164" s="16" t="inlineStr">
        <is>
          <t>T11.18</t>
        </is>
      </c>
      <c r="N164" s="16" t="inlineStr">
        <is>
          <t>Prototype in design report §7</t>
        </is>
      </c>
    </row>
    <row r="165" ht="36.75" customHeight="1" s="36">
      <c r="A165" s="8" t="inlineStr">
        <is>
          <t>T11.21</t>
        </is>
      </c>
      <c r="B165" s="8" t="inlineStr">
        <is>
          <t>T11</t>
        </is>
      </c>
      <c r="C165" s="16" t="inlineStr">
        <is>
          <t>Stress testing</t>
        </is>
      </c>
      <c r="D165" s="16" t="inlineStr">
        <is>
          <t>Scenario-conditional VaR (GARCH-EVT scaled by stressed volatility) vs D7/D23 triggers</t>
        </is>
      </c>
      <c r="E165" s="16" t="inlineStr">
        <is>
          <t>Dewmini</t>
        </is>
      </c>
      <c r="F165" s="16" t="inlineStr">
        <is>
          <t>Done</t>
        </is>
      </c>
      <c r="G165" s="16" t="inlineStr">
        <is>
          <t>Weeks 2–3</t>
        </is>
      </c>
      <c r="H165" s="14" t="n"/>
      <c r="I165" s="16" t="inlineStr">
        <is>
          <t>scenario VaR99 2.38% (A severe) &gt; 1.7% → D23 review; explained vs multi-month loss</t>
        </is>
      </c>
      <c r="J165" s="16" t="n"/>
      <c r="K165" s="16" t="inlineStr">
        <is>
          <t>scenario VaR99 2.38% (A severe) &gt; 1.7% → D23 review; explained vs multi-month loss</t>
        </is>
      </c>
      <c r="L165" s="16" t="inlineStr">
        <is>
          <t>Medium</t>
        </is>
      </c>
      <c r="M165" s="16" t="inlineStr">
        <is>
          <t>T11.18, T10.07</t>
        </is>
      </c>
      <c r="N165" s="16" t="inlineStr">
        <is>
          <t>Design report §6.3</t>
        </is>
      </c>
    </row>
    <row r="166" ht="36.75" customHeight="1" s="36">
      <c r="A166" s="8" t="inlineStr">
        <is>
          <t>T11.22</t>
        </is>
      </c>
      <c r="B166" s="8" t="inlineStr">
        <is>
          <t>T11</t>
        </is>
      </c>
      <c r="C166" s="16" t="inlineStr">
        <is>
          <t>Stress testing</t>
        </is>
      </c>
      <c r="D166" s="16" t="inlineStr">
        <is>
          <t>Stress page: scenario/severity selector, factor sliders, contribution waterfall, path chart</t>
        </is>
      </c>
      <c r="E166" s="16" t="inlineStr">
        <is>
          <t>Dewmini</t>
        </is>
      </c>
      <c r="F166" s="16" t="inlineStr">
        <is>
          <t>Not Started</t>
        </is>
      </c>
      <c r="G166" s="16" t="inlineStr">
        <is>
          <t>Weeks 2–3</t>
        </is>
      </c>
      <c r="H166" s="14" t="n"/>
      <c r="I166" s="16" t="n"/>
      <c r="J166" s="16" t="n"/>
      <c r="K166" s="16" t="inlineStr">
        <is>
          <t>App stress panel</t>
        </is>
      </c>
      <c r="L166" s="16" t="inlineStr">
        <is>
          <t>High</t>
        </is>
      </c>
      <c r="M166" s="16" t="inlineStr">
        <is>
          <t>T11.18, T14</t>
        </is>
      </c>
      <c r="N166" s="16" t="inlineStr">
        <is>
          <t>BR pp.5–6</t>
        </is>
      </c>
    </row>
    <row r="167" ht="36.75" customHeight="1" s="36">
      <c r="A167" s="8" t="inlineStr">
        <is>
          <t>T11.23</t>
        </is>
      </c>
      <c r="B167" s="8" t="inlineStr">
        <is>
          <t>T11</t>
        </is>
      </c>
      <c r="C167" s="16" t="inlineStr">
        <is>
          <t>Stress testing</t>
        </is>
      </c>
      <c r="D167" s="16" t="inlineStr">
        <is>
          <t>Feed severe-scenario loss and headroom into memo and T20 decision (gold/XLE hedge test in T4.25)</t>
        </is>
      </c>
      <c r="E167" s="16" t="inlineStr">
        <is>
          <t>Dewmini</t>
        </is>
      </c>
      <c r="F167" s="16" t="inlineStr">
        <is>
          <t>Not Started</t>
        </is>
      </c>
      <c r="G167" s="16" t="inlineStr">
        <is>
          <t>Weeks 2–3</t>
        </is>
      </c>
      <c r="H167" s="14" t="n"/>
      <c r="I167" s="16" t="n"/>
      <c r="J167" s="16" t="n"/>
      <c r="K167" s="16" t="inlineStr">
        <is>
          <t>Memo stress section</t>
        </is>
      </c>
      <c r="L167" s="16" t="inlineStr">
        <is>
          <t>Critical</t>
        </is>
      </c>
      <c r="M167" s="16" t="inlineStr">
        <is>
          <t>T11.20, T20</t>
        </is>
      </c>
      <c r="N167" s="16" t="inlineStr">
        <is>
          <t>Decision 30%</t>
        </is>
      </c>
    </row>
    <row r="168" ht="36.75" customHeight="1" s="36">
      <c r="A168" s="8" t="inlineStr">
        <is>
          <t>T12.01</t>
        </is>
      </c>
      <c r="B168" s="8" t="inlineStr">
        <is>
          <t>T12</t>
        </is>
      </c>
      <c r="C168" s="16" t="inlineStr">
        <is>
          <t>Macro and industry risk analysis (optional)</t>
        </is>
      </c>
      <c r="D168" s="16" t="inlineStr">
        <is>
          <t>Identify the important rates, inflation, oil and geopolitical exposures</t>
        </is>
      </c>
      <c r="E168" s="16" t="inlineStr">
        <is>
          <t>Malindu</t>
        </is>
      </c>
      <c r="F168" s="16" t="inlineStr">
        <is>
          <t>Not Started</t>
        </is>
      </c>
      <c r="G168" s="16" t="inlineStr">
        <is>
          <t>Week 3</t>
        </is>
      </c>
      <c r="H168" s="14" t="n"/>
      <c r="I168" s="16" t="n"/>
      <c r="J168" s="16" t="n"/>
      <c r="K168" s="16" t="inlineStr">
        <is>
          <t>Exposure list</t>
        </is>
      </c>
      <c r="L168" s="16" t="inlineStr">
        <is>
          <t>Medium</t>
        </is>
      </c>
      <c r="M168" s="16" t="inlineStr">
        <is>
          <t>—</t>
        </is>
      </c>
      <c r="N168" s="16" t="inlineStr">
        <is>
          <t>PM · BR p.4 #9</t>
        </is>
      </c>
    </row>
    <row r="169" ht="36.75" customHeight="1" s="36">
      <c r="A169" s="8" t="inlineStr">
        <is>
          <t>T12.02</t>
        </is>
      </c>
      <c r="B169" s="8" t="inlineStr">
        <is>
          <t>T12</t>
        </is>
      </c>
      <c r="C169" s="16" t="inlineStr">
        <is>
          <t>Macro and industry risk analysis (optional)</t>
        </is>
      </c>
      <c r="D169" s="16" t="inlineStr">
        <is>
          <t>Research ETF sensitivity to recession and policy shocks</t>
        </is>
      </c>
      <c r="E169" s="16" t="inlineStr">
        <is>
          <t>Malindu</t>
        </is>
      </c>
      <c r="F169" s="16" t="inlineStr">
        <is>
          <t>Not Started</t>
        </is>
      </c>
      <c r="G169" s="16" t="inlineStr">
        <is>
          <t>Week 3</t>
        </is>
      </c>
      <c r="H169" s="14" t="n"/>
      <c r="I169" s="16" t="n"/>
      <c r="J169" s="16" t="n"/>
      <c r="K169" s="16" t="inlineStr">
        <is>
          <t>Sensitivity notes</t>
        </is>
      </c>
      <c r="L169" s="16" t="inlineStr">
        <is>
          <t>Medium</t>
        </is>
      </c>
      <c r="M169" s="16" t="inlineStr">
        <is>
          <t>T12.01</t>
        </is>
      </c>
      <c r="N169" s="16" t="inlineStr">
        <is>
          <t>PM</t>
        </is>
      </c>
    </row>
    <row r="170" ht="36.75" customHeight="1" s="36">
      <c r="A170" s="8" t="inlineStr">
        <is>
          <t>T12.03</t>
        </is>
      </c>
      <c r="B170" s="8" t="inlineStr">
        <is>
          <t>T12</t>
        </is>
      </c>
      <c r="C170" s="16" t="inlineStr">
        <is>
          <t>Macro and industry risk analysis (optional)</t>
        </is>
      </c>
      <c r="D170" s="16" t="inlineStr">
        <is>
          <t>Connect industry exposures with the chosen shock scenario</t>
        </is>
      </c>
      <c r="E170" s="16" t="inlineStr">
        <is>
          <t>Malindu</t>
        </is>
      </c>
      <c r="F170" s="16" t="inlineStr">
        <is>
          <t>Not Started</t>
        </is>
      </c>
      <c r="G170" s="16" t="inlineStr">
        <is>
          <t>Week 3</t>
        </is>
      </c>
      <c r="H170" s="14" t="n"/>
      <c r="I170" s="16" t="n"/>
      <c r="J170" s="16" t="n"/>
      <c r="K170" s="16" t="inlineStr">
        <is>
          <t>Input to T11.03</t>
        </is>
      </c>
      <c r="L170" s="16" t="inlineStr">
        <is>
          <t>Medium</t>
        </is>
      </c>
      <c r="M170" s="16" t="inlineStr">
        <is>
          <t>T12.02</t>
        </is>
      </c>
      <c r="N170" s="16" t="inlineStr">
        <is>
          <t>PM</t>
        </is>
      </c>
    </row>
    <row r="171" ht="36.75" customHeight="1" s="36">
      <c r="A171" s="8" t="inlineStr">
        <is>
          <t>T12.04</t>
        </is>
      </c>
      <c r="B171" s="8" t="inlineStr">
        <is>
          <t>T12</t>
        </is>
      </c>
      <c r="C171" s="16" t="inlineStr">
        <is>
          <t>Macro and industry risk analysis (optional)</t>
        </is>
      </c>
      <c r="D171" s="16" t="inlineStr">
        <is>
          <t>Write macro-risk notes for the report and stress test</t>
        </is>
      </c>
      <c r="E171" s="16" t="inlineStr">
        <is>
          <t>Malindu</t>
        </is>
      </c>
      <c r="F171" s="16" t="inlineStr">
        <is>
          <t>Not Started</t>
        </is>
      </c>
      <c r="G171" s="16" t="inlineStr">
        <is>
          <t>Week 3</t>
        </is>
      </c>
      <c r="H171" s="14" t="n"/>
      <c r="I171" s="16" t="n"/>
      <c r="J171" s="16" t="n"/>
      <c r="K171" s="16" t="inlineStr">
        <is>
          <t>Report section</t>
        </is>
      </c>
      <c r="L171" s="16" t="inlineStr">
        <is>
          <t>Medium</t>
        </is>
      </c>
      <c r="M171" s="16" t="inlineStr">
        <is>
          <t>T12.03</t>
        </is>
      </c>
      <c r="N171" s="16" t="inlineStr">
        <is>
          <t>PM · BR p.10 counts in decision score</t>
        </is>
      </c>
    </row>
    <row r="172" ht="36.75" customHeight="1" s="36">
      <c r="A172" s="8" t="inlineStr">
        <is>
          <t>T12.05</t>
        </is>
      </c>
      <c r="B172" s="8" t="inlineStr">
        <is>
          <t>T12</t>
        </is>
      </c>
      <c r="C172" s="16" t="inlineStr">
        <is>
          <t>Macro and industry risk analysis (optional)</t>
        </is>
      </c>
      <c r="D172" s="16" t="inlineStr">
        <is>
          <t>Macro context from World Bank / IMF open data only</t>
        </is>
      </c>
      <c r="E172" s="16" t="inlineStr">
        <is>
          <t>Malindu</t>
        </is>
      </c>
      <c r="F172" s="16" t="inlineStr">
        <is>
          <t>Not Started</t>
        </is>
      </c>
      <c r="G172" s="16" t="inlineStr">
        <is>
          <t>Week 3</t>
        </is>
      </c>
      <c r="H172" s="14" t="n"/>
      <c r="I172" s="16" t="n"/>
      <c r="J172" s="16" t="n"/>
      <c r="K172" s="16" t="inlineStr">
        <is>
          <t>Cited figures in memo</t>
        </is>
      </c>
      <c r="L172" s="16" t="inlineStr">
        <is>
          <t>Low</t>
        </is>
      </c>
      <c r="M172" s="16" t="inlineStr">
        <is>
          <t>T12.04</t>
        </is>
      </c>
      <c r="N172" s="16" t="inlineStr">
        <is>
          <t>BR p.9</t>
        </is>
      </c>
    </row>
    <row r="173" ht="36.75" customHeight="1" s="36">
      <c r="A173" s="8" t="inlineStr">
        <is>
          <t>T13.01</t>
        </is>
      </c>
      <c r="B173" s="8" t="inlineStr">
        <is>
          <t>T13</t>
        </is>
      </c>
      <c r="C173" s="16" t="inlineStr">
        <is>
          <t>Innovation extension</t>
        </is>
      </c>
      <c r="D173" s="16" t="inlineStr">
        <is>
          <t>Choose one additional model and state a testable hypothesis</t>
        </is>
      </c>
      <c r="E173" s="16" t="inlineStr">
        <is>
          <t>Sujan</t>
        </is>
      </c>
      <c r="F173" s="16" t="inlineStr">
        <is>
          <t>Not Started</t>
        </is>
      </c>
      <c r="G173" s="16" t="inlineStr">
        <is>
          <t>Week 3</t>
        </is>
      </c>
      <c r="H173" s="14" t="n"/>
      <c r="I173" s="16" t="n"/>
      <c r="J173" s="16" t="n"/>
      <c r="K173" s="16" t="inlineStr">
        <is>
          <t>Entry in INNOVATION_LOG.md</t>
        </is>
      </c>
      <c r="L173" s="16" t="inlineStr">
        <is>
          <t>Medium</t>
        </is>
      </c>
      <c r="M173" s="16" t="inlineStr">
        <is>
          <t>T6.05</t>
        </is>
      </c>
      <c r="N173" s="16" t="inlineStr">
        <is>
          <t>PM</t>
        </is>
      </c>
    </row>
    <row r="174" ht="36.75" customHeight="1" s="36">
      <c r="A174" s="8" t="inlineStr">
        <is>
          <t>T13.02</t>
        </is>
      </c>
      <c r="B174" s="8" t="inlineStr">
        <is>
          <t>T13</t>
        </is>
      </c>
      <c r="C174" s="16" t="inlineStr">
        <is>
          <t>Innovation extension</t>
        </is>
      </c>
      <c r="D174" s="16" t="inlineStr">
        <is>
          <t>Specify the method and baseline comparison fairly</t>
        </is>
      </c>
      <c r="E174" s="16" t="inlineStr">
        <is>
          <t>Sujan</t>
        </is>
      </c>
      <c r="F174" s="16" t="inlineStr">
        <is>
          <t>Not Started</t>
        </is>
      </c>
      <c r="G174" s="16" t="inlineStr">
        <is>
          <t>Week 3</t>
        </is>
      </c>
      <c r="H174" s="14" t="n"/>
      <c r="I174" s="16" t="n"/>
      <c r="J174" s="16" t="n"/>
      <c r="K174" s="16" t="inlineStr">
        <is>
          <t>Method note</t>
        </is>
      </c>
      <c r="L174" s="16" t="inlineStr">
        <is>
          <t>Medium</t>
        </is>
      </c>
      <c r="M174" s="16" t="inlineStr">
        <is>
          <t>T13.01</t>
        </is>
      </c>
      <c r="N174" s="16" t="inlineStr">
        <is>
          <t>PM</t>
        </is>
      </c>
    </row>
    <row r="175" ht="36.75" customHeight="1" s="36">
      <c r="A175" s="8" t="inlineStr">
        <is>
          <t>T13.03</t>
        </is>
      </c>
      <c r="B175" s="8" t="inlineStr">
        <is>
          <t>T13</t>
        </is>
      </c>
      <c r="C175" s="16" t="inlineStr">
        <is>
          <t>Innovation extension</t>
        </is>
      </c>
      <c r="D175" s="16" t="inlineStr">
        <is>
          <t>Implement innovation without future-data leakage</t>
        </is>
      </c>
      <c r="E175" s="16" t="inlineStr">
        <is>
          <t>Sujan</t>
        </is>
      </c>
      <c r="F175" s="16" t="inlineStr">
        <is>
          <t>Not Started</t>
        </is>
      </c>
      <c r="G175" s="16" t="inlineStr">
        <is>
          <t>Week 3</t>
        </is>
      </c>
      <c r="H175" s="14" t="n"/>
      <c r="I175" s="16" t="n"/>
      <c r="J175" s="16" t="n"/>
      <c r="K175" s="16" t="inlineStr">
        <is>
          <t>Code + tests</t>
        </is>
      </c>
      <c r="L175" s="16" t="inlineStr">
        <is>
          <t>Medium</t>
        </is>
      </c>
      <c r="M175" s="16" t="inlineStr">
        <is>
          <t>T13.02</t>
        </is>
      </c>
      <c r="N175" s="16" t="inlineStr">
        <is>
          <t>PM</t>
        </is>
      </c>
    </row>
    <row r="176" ht="36.75" customHeight="1" s="36">
      <c r="A176" s="8" t="inlineStr">
        <is>
          <t>T13.04</t>
        </is>
      </c>
      <c r="B176" s="8" t="inlineStr">
        <is>
          <t>T13</t>
        </is>
      </c>
      <c r="C176" s="16" t="inlineStr">
        <is>
          <t>Innovation extension</t>
        </is>
      </c>
      <c r="D176" s="16" t="inlineStr">
        <is>
          <t>Backtest innovation and compare standalone methods</t>
        </is>
      </c>
      <c r="E176" s="16" t="inlineStr">
        <is>
          <t>Sujan</t>
        </is>
      </c>
      <c r="F176" s="16" t="inlineStr">
        <is>
          <t>Not Started</t>
        </is>
      </c>
      <c r="G176" s="16" t="inlineStr">
        <is>
          <t>Week 3</t>
        </is>
      </c>
      <c r="H176" s="14" t="n"/>
      <c r="I176" s="16" t="n"/>
      <c r="J176" s="16" t="n"/>
      <c r="K176" s="16" t="inlineStr">
        <is>
          <t>Backtest comparison</t>
        </is>
      </c>
      <c r="L176" s="16" t="inlineStr">
        <is>
          <t>Medium</t>
        </is>
      </c>
      <c r="M176" s="16" t="inlineStr">
        <is>
          <t>T13.03, T10.04</t>
        </is>
      </c>
      <c r="N176" s="16" t="inlineStr">
        <is>
          <t>PM</t>
        </is>
      </c>
    </row>
    <row r="177" ht="36.75" customHeight="1" s="36">
      <c r="A177" s="8" t="inlineStr">
        <is>
          <t>T13.05</t>
        </is>
      </c>
      <c r="B177" s="8" t="inlineStr">
        <is>
          <t>T13</t>
        </is>
      </c>
      <c r="C177" s="16" t="inlineStr">
        <is>
          <t>Innovation extension</t>
        </is>
      </c>
      <c r="D177" s="16" t="inlineStr">
        <is>
          <t>Report gains, failures, limitations and overfitting concerns</t>
        </is>
      </c>
      <c r="E177" s="16" t="inlineStr">
        <is>
          <t>Sujan</t>
        </is>
      </c>
      <c r="F177" s="16" t="inlineStr">
        <is>
          <t>Not Started</t>
        </is>
      </c>
      <c r="G177" s="16" t="inlineStr">
        <is>
          <t>Week 3</t>
        </is>
      </c>
      <c r="H177" s="14" t="n"/>
      <c r="I177" s="16" t="n"/>
      <c r="J177" s="16" t="n"/>
      <c r="K177" s="16" t="inlineStr">
        <is>
          <t>Report section</t>
        </is>
      </c>
      <c r="L177" s="16" t="inlineStr">
        <is>
          <t>Medium</t>
        </is>
      </c>
      <c r="M177" s="16" t="inlineStr">
        <is>
          <t>T13.04</t>
        </is>
      </c>
      <c r="N177" s="16" t="inlineStr">
        <is>
          <t>PM</t>
        </is>
      </c>
    </row>
    <row r="178" ht="36.75" customHeight="1" s="36">
      <c r="A178" s="8" t="inlineStr">
        <is>
          <t>T13.06</t>
        </is>
      </c>
      <c r="B178" s="8" t="inlineStr">
        <is>
          <t>T13</t>
        </is>
      </c>
      <c r="C178" s="16" t="inlineStr">
        <is>
          <t>Innovation extension</t>
        </is>
      </c>
      <c r="D178" s="16" t="inlineStr">
        <is>
          <t>Agree the innovation set (rec. #12) and wavelets decision (rec. #13)</t>
        </is>
      </c>
      <c r="E178" s="16" t="inlineStr">
        <is>
          <t>All members</t>
        </is>
      </c>
      <c r="F178" s="16" t="inlineStr">
        <is>
          <t>Not Started</t>
        </is>
      </c>
      <c r="G178" s="16" t="inlineStr">
        <is>
          <t>Week 3</t>
        </is>
      </c>
      <c r="H178" s="14" t="n"/>
      <c r="I178" s="16" t="n"/>
      <c r="J178" s="16" t="n"/>
      <c r="K178" s="16" t="inlineStr">
        <is>
          <t>Approved list in DECISIONS.md</t>
        </is>
      </c>
      <c r="L178" s="16" t="inlineStr">
        <is>
          <t>Medium</t>
        </is>
      </c>
      <c r="M178" s="16" t="inlineStr">
        <is>
          <t>—</t>
        </is>
      </c>
      <c r="N178" s="16" t="inlineStr">
        <is>
          <t>REV</t>
        </is>
      </c>
    </row>
    <row r="179" ht="36.75" customHeight="1" s="36">
      <c r="A179" s="8" t="inlineStr">
        <is>
          <t>T13.07</t>
        </is>
      </c>
      <c r="B179" s="8" t="inlineStr">
        <is>
          <t>T13</t>
        </is>
      </c>
      <c r="C179" s="16" t="inlineStr">
        <is>
          <t>Innovation extension</t>
        </is>
      </c>
      <c r="D179" s="16" t="inlineStr">
        <is>
          <t>Evaluate conditional drawdown-at-risk (CDaR) optimisation as innovation</t>
        </is>
      </c>
      <c r="E179" s="16" t="inlineStr">
        <is>
          <t>Sujan</t>
        </is>
      </c>
      <c r="F179" s="16" t="inlineStr">
        <is>
          <t>Not Started</t>
        </is>
      </c>
      <c r="G179" s="16" t="inlineStr">
        <is>
          <t>Week 3</t>
        </is>
      </c>
      <c r="H179" s="14" t="n"/>
      <c r="I179" s="16" t="n"/>
      <c r="J179" s="16" t="n"/>
      <c r="K179" s="16" t="inlineStr">
        <is>
          <t>Innovation log entry + comparison</t>
        </is>
      </c>
      <c r="L179" s="16" t="inlineStr">
        <is>
          <t>Medium</t>
        </is>
      </c>
      <c r="M179" s="16" t="inlineStr">
        <is>
          <t>T4.20</t>
        </is>
      </c>
      <c r="N179" s="16" t="inlineStr">
        <is>
          <t>Review 2026-10-28</t>
        </is>
      </c>
    </row>
    <row r="180" ht="36.75" customHeight="1" s="36">
      <c r="A180" s="8" t="inlineStr">
        <is>
          <t>T14.01</t>
        </is>
      </c>
      <c r="B180" s="8" t="inlineStr">
        <is>
          <t>T14</t>
        </is>
      </c>
      <c r="C180" s="16" t="inlineStr">
        <is>
          <t>Streamlit app</t>
        </is>
      </c>
      <c r="D180" s="16" t="inlineStr">
        <is>
          <t>Build sidebar: confidence 90/95/99, method and backtest dates</t>
        </is>
      </c>
      <c r="E180" s="16" t="inlineStr">
        <is>
          <t>Malindu</t>
        </is>
      </c>
      <c r="F180" s="16" t="inlineStr">
        <is>
          <t>Not Started</t>
        </is>
      </c>
      <c r="G180" s="16" t="inlineStr">
        <is>
          <t>Weeks 2–3</t>
        </is>
      </c>
      <c r="H180" s="14" t="n"/>
      <c r="I180" s="16" t="n"/>
      <c r="J180" s="16" t="n"/>
      <c r="K180" s="16" t="inlineStr">
        <is>
          <t>Sidebar wired to outputs</t>
        </is>
      </c>
      <c r="L180" s="16" t="inlineStr">
        <is>
          <t>Critical</t>
        </is>
      </c>
      <c r="M180" s="16" t="inlineStr">
        <is>
          <t>T6.07, T10.10</t>
        </is>
      </c>
      <c r="N180" s="16" t="inlineStr">
        <is>
          <t>PM · BR p.5</t>
        </is>
      </c>
    </row>
    <row r="181" ht="36.75" customHeight="1" s="36">
      <c r="A181" s="8" t="inlineStr">
        <is>
          <t>T14.02</t>
        </is>
      </c>
      <c r="B181" s="8" t="inlineStr">
        <is>
          <t>T14</t>
        </is>
      </c>
      <c r="C181" s="16" t="inlineStr">
        <is>
          <t>Streamlit app</t>
        </is>
      </c>
      <c r="D181" s="16" t="inlineStr">
        <is>
          <t>Build ETF weights and cumulative return portfolio panel</t>
        </is>
      </c>
      <c r="E181" s="16" t="inlineStr">
        <is>
          <t>Malindu</t>
        </is>
      </c>
      <c r="F181" s="16" t="inlineStr">
        <is>
          <t>Not Started</t>
        </is>
      </c>
      <c r="G181" s="16" t="inlineStr">
        <is>
          <t>Weeks 2–3</t>
        </is>
      </c>
      <c r="H181" s="14" t="n"/>
      <c r="I181" s="16" t="n"/>
      <c r="J181" s="16" t="n"/>
      <c r="K181" s="16" t="inlineStr">
        <is>
          <t>Portfolio page</t>
        </is>
      </c>
      <c r="L181" s="16" t="inlineStr">
        <is>
          <t>Critical</t>
        </is>
      </c>
      <c r="M181" s="16" t="inlineStr">
        <is>
          <t>T4.16</t>
        </is>
      </c>
      <c r="N181" s="16" t="inlineStr">
        <is>
          <t>PM · BR p.5</t>
        </is>
      </c>
    </row>
    <row r="182" ht="36.75" customHeight="1" s="36">
      <c r="A182" s="8" t="inlineStr">
        <is>
          <t>T14.03</t>
        </is>
      </c>
      <c r="B182" s="8" t="inlineStr">
        <is>
          <t>T14</t>
        </is>
      </c>
      <c r="C182" s="16" t="inlineStr">
        <is>
          <t>Streamlit app</t>
        </is>
      </c>
      <c r="D182" s="16" t="inlineStr">
        <is>
          <t>Add drawdown figure and KPI section</t>
        </is>
      </c>
      <c r="E182" s="16" t="inlineStr">
        <is>
          <t>Malindu</t>
        </is>
      </c>
      <c r="F182" s="16" t="inlineStr">
        <is>
          <t>Not Started</t>
        </is>
      </c>
      <c r="G182" s="16" t="inlineStr">
        <is>
          <t>Weeks 2–3</t>
        </is>
      </c>
      <c r="H182" s="14" t="n"/>
      <c r="I182" s="16" t="n"/>
      <c r="J182" s="16" t="n"/>
      <c r="K182" s="16" t="inlineStr">
        <is>
          <t>Drawdown + KPI panel</t>
        </is>
      </c>
      <c r="L182" s="16" t="inlineStr">
        <is>
          <t>Critical</t>
        </is>
      </c>
      <c r="M182" s="16" t="inlineStr">
        <is>
          <t>T5.05</t>
        </is>
      </c>
      <c r="N182" s="16" t="inlineStr">
        <is>
          <t>PM · BR p.5</t>
        </is>
      </c>
    </row>
    <row r="183" ht="36.75" customHeight="1" s="36">
      <c r="A183" s="8" t="inlineStr">
        <is>
          <t>T14.04</t>
        </is>
      </c>
      <c r="B183" s="8" t="inlineStr">
        <is>
          <t>T14</t>
        </is>
      </c>
      <c r="C183" s="16" t="inlineStr">
        <is>
          <t>Streamlit app</t>
        </is>
      </c>
      <c r="D183" s="16" t="inlineStr">
        <is>
          <t>Create VaR/ES/EVT side-by-side risk dashboard</t>
        </is>
      </c>
      <c r="E183" s="16" t="inlineStr">
        <is>
          <t>Malindu</t>
        </is>
      </c>
      <c r="F183" s="16" t="inlineStr">
        <is>
          <t>Not Started</t>
        </is>
      </c>
      <c r="G183" s="16" t="inlineStr">
        <is>
          <t>Weeks 2–3</t>
        </is>
      </c>
      <c r="H183" s="14" t="n"/>
      <c r="I183" s="16" t="n"/>
      <c r="J183" s="16" t="n"/>
      <c r="K183" s="16" t="inlineStr">
        <is>
          <t>Risk page, same confidence, gap visible</t>
        </is>
      </c>
      <c r="L183" s="16" t="inlineStr">
        <is>
          <t>Critical</t>
        </is>
      </c>
      <c r="M183" s="16" t="inlineStr">
        <is>
          <t>T8.05</t>
        </is>
      </c>
      <c r="N183" s="16" t="inlineStr">
        <is>
          <t>PM · BR p.5</t>
        </is>
      </c>
    </row>
    <row r="184" ht="36.75" customHeight="1" s="36">
      <c r="A184" s="8" t="inlineStr">
        <is>
          <t>T14.05</t>
        </is>
      </c>
      <c r="B184" s="8" t="inlineStr">
        <is>
          <t>T14</t>
        </is>
      </c>
      <c r="C184" s="16" t="inlineStr">
        <is>
          <t>Streamlit app</t>
        </is>
      </c>
      <c r="D184" s="16" t="inlineStr">
        <is>
          <t>Build backtesting results and traffic-light panel</t>
        </is>
      </c>
      <c r="E184" s="16" t="inlineStr">
        <is>
          <t>Malindu</t>
        </is>
      </c>
      <c r="F184" s="16" t="inlineStr">
        <is>
          <t>Not Started</t>
        </is>
      </c>
      <c r="G184" s="16" t="inlineStr">
        <is>
          <t>Weeks 2–3</t>
        </is>
      </c>
      <c r="H184" s="14" t="n"/>
      <c r="I184" s="16" t="n"/>
      <c r="J184" s="16" t="n"/>
      <c r="K184" s="16" t="inlineStr">
        <is>
          <t>Backtest page</t>
        </is>
      </c>
      <c r="L184" s="16" t="inlineStr">
        <is>
          <t>Critical</t>
        </is>
      </c>
      <c r="M184" s="16" t="inlineStr">
        <is>
          <t>T10.06</t>
        </is>
      </c>
      <c r="N184" s="16" t="inlineStr">
        <is>
          <t>PM · BR p.5</t>
        </is>
      </c>
    </row>
    <row r="185" ht="36.75" customHeight="1" s="36">
      <c r="A185" s="8" t="inlineStr">
        <is>
          <t>T14.06</t>
        </is>
      </c>
      <c r="B185" s="8" t="inlineStr">
        <is>
          <t>T14</t>
        </is>
      </c>
      <c r="C185" s="16" t="inlineStr">
        <is>
          <t>Streamlit app</t>
        </is>
      </c>
      <c r="D185" s="16" t="inlineStr">
        <is>
          <t>Build historical/hypothetical stress visualization</t>
        </is>
      </c>
      <c r="E185" s="16" t="inlineStr">
        <is>
          <t>Malindu</t>
        </is>
      </c>
      <c r="F185" s="16" t="inlineStr">
        <is>
          <t>Not Started</t>
        </is>
      </c>
      <c r="G185" s="16" t="inlineStr">
        <is>
          <t>Weeks 2–3</t>
        </is>
      </c>
      <c r="H185" s="14" t="n"/>
      <c r="I185" s="16" t="n"/>
      <c r="J185" s="16" t="n"/>
      <c r="K185" s="16" t="inlineStr">
        <is>
          <t>Stress page</t>
        </is>
      </c>
      <c r="L185" s="16" t="inlineStr">
        <is>
          <t>Critical</t>
        </is>
      </c>
      <c r="M185" s="16" t="inlineStr">
        <is>
          <t>T11.05</t>
        </is>
      </c>
      <c r="N185" s="16" t="inlineStr">
        <is>
          <t>PM · BR p.6</t>
        </is>
      </c>
    </row>
    <row r="186" ht="36.75" customHeight="1" s="36">
      <c r="A186" s="8" t="inlineStr">
        <is>
          <t>T14.07</t>
        </is>
      </c>
      <c r="B186" s="8" t="inlineStr">
        <is>
          <t>T14</t>
        </is>
      </c>
      <c r="C186" s="16" t="inlineStr">
        <is>
          <t>Streamlit app</t>
        </is>
      </c>
      <c r="D186" s="16" t="inlineStr">
        <is>
          <t>Add Assumptions page and test app interactions</t>
        </is>
      </c>
      <c r="E186" s="16" t="inlineStr">
        <is>
          <t>Malindu</t>
        </is>
      </c>
      <c r="F186" s="16" t="inlineStr">
        <is>
          <t>Not Started</t>
        </is>
      </c>
      <c r="G186" s="16" t="inlineStr">
        <is>
          <t>Weeks 2–3</t>
        </is>
      </c>
      <c r="H186" s="14" t="n"/>
      <c r="I186" s="16" t="n"/>
      <c r="J186" s="16" t="n"/>
      <c r="K186" s="16" t="inlineStr">
        <is>
          <t>Assumptions page + UI tests</t>
        </is>
      </c>
      <c r="L186" s="16" t="inlineStr">
        <is>
          <t>Critical</t>
        </is>
      </c>
      <c r="M186" s="16" t="inlineStr">
        <is>
          <t>T15.05</t>
        </is>
      </c>
      <c r="N186" s="16" t="inlineStr">
        <is>
          <t>PM · BR p.6</t>
        </is>
      </c>
    </row>
    <row r="187" ht="36.75" customHeight="1" s="36">
      <c r="A187" s="8" t="inlineStr">
        <is>
          <t>T14.08</t>
        </is>
      </c>
      <c r="B187" s="8" t="inlineStr">
        <is>
          <t>T14</t>
        </is>
      </c>
      <c r="C187" s="16" t="inlineStr">
        <is>
          <t>Streamlit app</t>
        </is>
      </c>
      <c r="D187" s="16" t="inlineStr">
        <is>
          <t>Shared loader: app reads outputs only, cached; no model code in UI</t>
        </is>
      </c>
      <c r="E187" s="16" t="inlineStr">
        <is>
          <t>Malindu</t>
        </is>
      </c>
      <c r="F187" s="16" t="inlineStr">
        <is>
          <t>Not Started</t>
        </is>
      </c>
      <c r="G187" s="16" t="inlineStr">
        <is>
          <t>Weeks 2–3</t>
        </is>
      </c>
      <c r="H187" s="14" t="n"/>
      <c r="I187" s="16" t="n"/>
      <c r="J187" s="16" t="n"/>
      <c r="K187" s="16" t="inlineStr">
        <is>
          <t>app/components/data.py</t>
        </is>
      </c>
      <c r="L187" s="16" t="inlineStr">
        <is>
          <t>High</t>
        </is>
      </c>
      <c r="M187" s="16" t="inlineStr">
        <is>
          <t>T4.16</t>
        </is>
      </c>
      <c r="N187" s="16" t="inlineStr">
        <is>
          <t>FJ app 03 · AGENTS.md</t>
        </is>
      </c>
    </row>
    <row r="188" ht="36.75" customHeight="1" s="36">
      <c r="A188" s="8" t="inlineStr">
        <is>
          <t>T14.09</t>
        </is>
      </c>
      <c r="B188" s="8" t="inlineStr">
        <is>
          <t>T14</t>
        </is>
      </c>
      <c r="C188" s="16" t="inlineStr">
        <is>
          <t>Streamlit app</t>
        </is>
      </c>
      <c r="D188" s="16" t="inlineStr">
        <is>
          <t>Decision &amp; tear-sheet page (P3, limits, monitoring triggers)</t>
        </is>
      </c>
      <c r="E188" s="16" t="inlineStr">
        <is>
          <t>Malindu</t>
        </is>
      </c>
      <c r="F188" s="16" t="inlineStr">
        <is>
          <t>Not Started</t>
        </is>
      </c>
      <c r="G188" s="16" t="inlineStr">
        <is>
          <t>Weeks 2–3</t>
        </is>
      </c>
      <c r="H188" s="14" t="n"/>
      <c r="I188" s="16" t="n"/>
      <c r="J188" s="16" t="n"/>
      <c r="K188" s="16" t="inlineStr">
        <is>
          <t>Decision page</t>
        </is>
      </c>
      <c r="L188" s="16" t="inlineStr">
        <is>
          <t>High</t>
        </is>
      </c>
      <c r="M188" s="16" t="inlineStr">
        <is>
          <t>T20.04</t>
        </is>
      </c>
      <c r="N188" s="16" t="inlineStr">
        <is>
          <t>FJ app 08</t>
        </is>
      </c>
    </row>
    <row r="189" ht="36.75" customHeight="1" s="36">
      <c r="A189" s="8" t="inlineStr">
        <is>
          <t>T14.10</t>
        </is>
      </c>
      <c r="B189" s="8" t="inlineStr">
        <is>
          <t>T14</t>
        </is>
      </c>
      <c r="C189" s="16" t="inlineStr">
        <is>
          <t>Streamlit app</t>
        </is>
      </c>
      <c r="D189" s="16" t="inlineStr">
        <is>
          <t>AI disclosure &amp; sources page</t>
        </is>
      </c>
      <c r="E189" s="16" t="inlineStr">
        <is>
          <t>Malindu</t>
        </is>
      </c>
      <c r="F189" s="16" t="inlineStr">
        <is>
          <t>Not Started</t>
        </is>
      </c>
      <c r="G189" s="16" t="inlineStr">
        <is>
          <t>Weeks 2–3</t>
        </is>
      </c>
      <c r="H189" s="14" t="n"/>
      <c r="I189" s="16" t="n"/>
      <c r="J189" s="16" t="n"/>
      <c r="K189" s="16" t="inlineStr">
        <is>
          <t>Disclosure page</t>
        </is>
      </c>
      <c r="L189" s="16" t="inlineStr">
        <is>
          <t>Medium</t>
        </is>
      </c>
      <c r="M189" s="16" t="inlineStr">
        <is>
          <t>T18.05</t>
        </is>
      </c>
      <c r="N189" s="16" t="inlineStr">
        <is>
          <t>FJ app 10</t>
        </is>
      </c>
    </row>
    <row r="190" ht="36.75" customHeight="1" s="36">
      <c r="A190" s="8" t="inlineStr">
        <is>
          <t>T14.11</t>
        </is>
      </c>
      <c r="B190" s="8" t="inlineStr">
        <is>
          <t>T14</t>
        </is>
      </c>
      <c r="C190" s="16" t="inlineStr">
        <is>
          <t>Streamlit app</t>
        </is>
      </c>
      <c r="D190" s="16" t="inlineStr">
        <is>
          <t>Export &amp; reproducibility page (CSV/figures download)</t>
        </is>
      </c>
      <c r="E190" s="16" t="inlineStr">
        <is>
          <t>Malindu</t>
        </is>
      </c>
      <c r="F190" s="16" t="inlineStr">
        <is>
          <t>Not Started</t>
        </is>
      </c>
      <c r="G190" s="16" t="inlineStr">
        <is>
          <t>Weeks 2–3</t>
        </is>
      </c>
      <c r="H190" s="14" t="n"/>
      <c r="I190" s="16" t="n"/>
      <c r="J190" s="16" t="n"/>
      <c r="K190" s="16" t="inlineStr">
        <is>
          <t>Export page</t>
        </is>
      </c>
      <c r="L190" s="16" t="inlineStr">
        <is>
          <t>Low</t>
        </is>
      </c>
      <c r="M190" s="16" t="inlineStr">
        <is>
          <t>T14.02–T14.06</t>
        </is>
      </c>
      <c r="N190" s="16" t="inlineStr">
        <is>
          <t>FJ app 11</t>
        </is>
      </c>
    </row>
    <row r="191" ht="36.75" customHeight="1" s="36">
      <c r="A191" s="8" t="inlineStr">
        <is>
          <t>T14.12</t>
        </is>
      </c>
      <c r="B191" s="8" t="inlineStr">
        <is>
          <t>T14</t>
        </is>
      </c>
      <c r="C191" s="16" t="inlineStr">
        <is>
          <t>Streamlit app</t>
        </is>
      </c>
      <c r="D191" s="16" t="inlineStr">
        <is>
          <t>Plain-language labels for a non-technical committee (units, horizon on every number)</t>
        </is>
      </c>
      <c r="E191" s="16" t="inlineStr">
        <is>
          <t>Malindu</t>
        </is>
      </c>
      <c r="F191" s="16" t="inlineStr">
        <is>
          <t>Not Started</t>
        </is>
      </c>
      <c r="G191" s="16" t="inlineStr">
        <is>
          <t>Weeks 2–3</t>
        </is>
      </c>
      <c r="H191" s="14" t="n"/>
      <c r="I191" s="16" t="n"/>
      <c r="J191" s="16" t="n"/>
      <c r="K191" s="16" t="inlineStr">
        <is>
          <t>UI copy review</t>
        </is>
      </c>
      <c r="L191" s="16" t="inlineStr">
        <is>
          <t>High</t>
        </is>
      </c>
      <c r="M191" s="16" t="inlineStr">
        <is>
          <t>T14.01–T14.07</t>
        </is>
      </c>
      <c r="N191" s="16" t="inlineStr">
        <is>
          <t>BR p.5 · masterclass</t>
        </is>
      </c>
    </row>
    <row r="192" ht="36.75" customHeight="1" s="36">
      <c r="A192" s="8" t="inlineStr">
        <is>
          <t>T14.13</t>
        </is>
      </c>
      <c r="B192" s="8" t="inlineStr">
        <is>
          <t>T14</t>
        </is>
      </c>
      <c r="C192" s="16" t="inlineStr">
        <is>
          <t>Streamlit app</t>
        </is>
      </c>
      <c r="D192" s="16" t="inlineStr">
        <is>
          <t>What-if sliders on decision page: spending, growth, costs, ERP → required return, gap, sustainable spending</t>
        </is>
      </c>
      <c r="E192" s="16" t="inlineStr">
        <is>
          <t>Malindu</t>
        </is>
      </c>
      <c r="F192" s="16" t="inlineStr">
        <is>
          <t>Not Started</t>
        </is>
      </c>
      <c r="G192" s="16" t="inlineStr">
        <is>
          <t>Weeks 2–3</t>
        </is>
      </c>
      <c r="H192" s="14" t="n"/>
      <c r="I192" s="16" t="n"/>
      <c r="J192" s="16" t="n"/>
      <c r="K192" s="16" t="inlineStr">
        <is>
          <t>Decision page widget</t>
        </is>
      </c>
      <c r="L192" s="16" t="inlineStr">
        <is>
          <t>Medium</t>
        </is>
      </c>
      <c r="M192" s="16" t="inlineStr">
        <is>
          <t>T4.21</t>
        </is>
      </c>
      <c r="N192" s="16" t="inlineStr">
        <is>
          <t>Team request 2026-10-28</t>
        </is>
      </c>
    </row>
    <row r="193" ht="36.75" customHeight="1" s="36">
      <c r="A193" s="8" t="inlineStr">
        <is>
          <t>T15.01</t>
        </is>
      </c>
      <c r="B193" s="8" t="inlineStr">
        <is>
          <t>T15</t>
        </is>
      </c>
      <c r="C193" s="16" t="inlineStr">
        <is>
          <t>Assumptions and Limitations</t>
        </is>
      </c>
      <c r="D193" s="16" t="inlineStr">
        <is>
          <t>Document data universe, dates, sourcing and limitations</t>
        </is>
      </c>
      <c r="E193" s="16" t="inlineStr">
        <is>
          <t>Raveena + Dewmini</t>
        </is>
      </c>
      <c r="F193" s="16" t="inlineStr">
        <is>
          <t>In Progress</t>
        </is>
      </c>
      <c r="G193" s="16" t="inlineStr">
        <is>
          <t>Week 3</t>
        </is>
      </c>
      <c r="H193" s="14" t="n"/>
      <c r="I193" s="16" t="n"/>
      <c r="J193" s="16" t="n"/>
      <c r="K193" s="16" t="inlineStr">
        <is>
          <t>Data section</t>
        </is>
      </c>
      <c r="L193" s="16" t="inlineStr">
        <is>
          <t>Critical</t>
        </is>
      </c>
      <c r="M193" s="16" t="inlineStr">
        <is>
          <t>T2.11</t>
        </is>
      </c>
      <c r="N193" s="16" t="inlineStr">
        <is>
          <t>PM · FRED notes written</t>
        </is>
      </c>
    </row>
    <row r="194" ht="36.75" customHeight="1" s="36">
      <c r="A194" s="8" t="inlineStr">
        <is>
          <t>T15.02</t>
        </is>
      </c>
      <c r="B194" s="8" t="inlineStr">
        <is>
          <t>T15</t>
        </is>
      </c>
      <c r="C194" s="16" t="inlineStr">
        <is>
          <t>Assumptions and Limitations</t>
        </is>
      </c>
      <c r="D194" s="16" t="inlineStr">
        <is>
          <t>Explain distribution, volatility and dependence assumptions</t>
        </is>
      </c>
      <c r="E194" s="16" t="inlineStr">
        <is>
          <t>Raveena + Dewmini</t>
        </is>
      </c>
      <c r="F194" s="16" t="inlineStr">
        <is>
          <t>Not Started</t>
        </is>
      </c>
      <c r="G194" s="16" t="inlineStr">
        <is>
          <t>Week 3</t>
        </is>
      </c>
      <c r="H194" s="14" t="n"/>
      <c r="I194" s="16" t="n"/>
      <c r="J194" s="16" t="n"/>
      <c r="K194" s="16" t="inlineStr">
        <is>
          <t>Model section</t>
        </is>
      </c>
      <c r="L194" s="16" t="inlineStr">
        <is>
          <t>Critical</t>
        </is>
      </c>
      <c r="M194" s="16" t="inlineStr">
        <is>
          <t>T6.08</t>
        </is>
      </c>
      <c r="N194" s="16" t="inlineStr">
        <is>
          <t>PM</t>
        </is>
      </c>
    </row>
    <row r="195" ht="36.75" customHeight="1" s="36">
      <c r="A195" s="8" t="inlineStr">
        <is>
          <t>T15.03</t>
        </is>
      </c>
      <c r="B195" s="8" t="inlineStr">
        <is>
          <t>T15</t>
        </is>
      </c>
      <c r="C195" s="16" t="inlineStr">
        <is>
          <t>Assumptions and Limitations</t>
        </is>
      </c>
      <c r="D195" s="16" t="inlineStr">
        <is>
          <t>Explain unseen shocks, low liquidity and tail-data scarcity</t>
        </is>
      </c>
      <c r="E195" s="16" t="inlineStr">
        <is>
          <t>Raveena + Dewmini</t>
        </is>
      </c>
      <c r="F195" s="16" t="inlineStr">
        <is>
          <t>Not Started</t>
        </is>
      </c>
      <c r="G195" s="16" t="inlineStr">
        <is>
          <t>Week 3</t>
        </is>
      </c>
      <c r="H195" s="14" t="n"/>
      <c r="I195" s="16" t="n"/>
      <c r="J195" s="16" t="n"/>
      <c r="K195" s="16" t="inlineStr">
        <is>
          <t>Tail / liquidity section</t>
        </is>
      </c>
      <c r="L195" s="16" t="inlineStr">
        <is>
          <t>Critical</t>
        </is>
      </c>
      <c r="M195" s="16" t="inlineStr">
        <is>
          <t>T8.06, T11.09</t>
        </is>
      </c>
      <c r="N195" s="16" t="inlineStr">
        <is>
          <t>PM</t>
        </is>
      </c>
    </row>
    <row r="196" ht="36.75" customHeight="1" s="36">
      <c r="A196" s="8" t="inlineStr">
        <is>
          <t>T15.04</t>
        </is>
      </c>
      <c r="B196" s="8" t="inlineStr">
        <is>
          <t>T15</t>
        </is>
      </c>
      <c r="C196" s="16" t="inlineStr">
        <is>
          <t>Assumptions and Limitations</t>
        </is>
      </c>
      <c r="D196" s="16" t="inlineStr">
        <is>
          <t>Clarify what backtesting can and cannot establish</t>
        </is>
      </c>
      <c r="E196" s="16" t="inlineStr">
        <is>
          <t>Raveena + Dewmini</t>
        </is>
      </c>
      <c r="F196" s="16" t="inlineStr">
        <is>
          <t>Not Started</t>
        </is>
      </c>
      <c r="G196" s="16" t="inlineStr">
        <is>
          <t>Week 3</t>
        </is>
      </c>
      <c r="H196" s="14" t="n"/>
      <c r="I196" s="16" t="n"/>
      <c r="J196" s="16" t="n"/>
      <c r="K196" s="16" t="inlineStr">
        <is>
          <t>Backtest section</t>
        </is>
      </c>
      <c r="L196" s="16" t="inlineStr">
        <is>
          <t>Critical</t>
        </is>
      </c>
      <c r="M196" s="16" t="inlineStr">
        <is>
          <t>T10.07</t>
        </is>
      </c>
      <c r="N196" s="16" t="inlineStr">
        <is>
          <t>PM</t>
        </is>
      </c>
    </row>
    <row r="197" ht="36.75" customHeight="1" s="36">
      <c r="A197" s="8" t="inlineStr">
        <is>
          <t>T15.05</t>
        </is>
      </c>
      <c r="B197" s="8" t="inlineStr">
        <is>
          <t>T15</t>
        </is>
      </c>
      <c r="C197" s="16" t="inlineStr">
        <is>
          <t>Assumptions and Limitations</t>
        </is>
      </c>
      <c r="D197" s="16" t="inlineStr">
        <is>
          <t>Ensure app and report state identical assumptions</t>
        </is>
      </c>
      <c r="E197" s="16" t="inlineStr">
        <is>
          <t>Raveena + Dewmini</t>
        </is>
      </c>
      <c r="F197" s="16" t="inlineStr">
        <is>
          <t>Not Started</t>
        </is>
      </c>
      <c r="G197" s="16" t="inlineStr">
        <is>
          <t>Week 3</t>
        </is>
      </c>
      <c r="H197" s="14" t="n"/>
      <c r="I197" s="16" t="n"/>
      <c r="J197" s="16" t="n"/>
      <c r="K197" s="16" t="inlineStr">
        <is>
          <t>App page generated from ASSUMPTIONS_LIMITATIONS.md</t>
        </is>
      </c>
      <c r="L197" s="16" t="inlineStr">
        <is>
          <t>Critical</t>
        </is>
      </c>
      <c r="M197" s="16" t="inlineStr">
        <is>
          <t>T15.01–T15.04</t>
        </is>
      </c>
      <c r="N197" s="16" t="inlineStr">
        <is>
          <t>PM · FJ limitations audit</t>
        </is>
      </c>
    </row>
    <row r="198" ht="36.75" customHeight="1" s="36">
      <c r="A198" s="8" t="inlineStr">
        <is>
          <t>T15.06</t>
        </is>
      </c>
      <c r="B198" s="8" t="inlineStr">
        <is>
          <t>T15</t>
        </is>
      </c>
      <c r="C198" s="16" t="inlineStr">
        <is>
          <t>Assumptions and Limitations</t>
        </is>
      </c>
      <c r="D198" s="16" t="inlineStr">
        <is>
          <t>Add return-objective, benchmark and risk-limit assumptions (CAPM gold, rf level, ERP, USD spending, tax, in-sample calibration)</t>
        </is>
      </c>
      <c r="E198" s="16" t="inlineStr">
        <is>
          <t>Raveena + Dewmini</t>
        </is>
      </c>
      <c r="F198" s="16" t="inlineStr">
        <is>
          <t>Done</t>
        </is>
      </c>
      <c r="G198" s="16" t="inlineStr">
        <is>
          <t>Week 3</t>
        </is>
      </c>
      <c r="H198" s="14" t="n"/>
      <c r="I198" s="16" t="inlineStr">
        <is>
          <t>docs/ASSUMPTIONS_LIMITATIONS.md updated</t>
        </is>
      </c>
      <c r="J198" s="16" t="n"/>
      <c r="K198" s="16" t="inlineStr">
        <is>
          <t>docs/ASSUMPTIONS_LIMITATIONS.md updated</t>
        </is>
      </c>
      <c r="L198" s="16" t="inlineStr">
        <is>
          <t>High</t>
        </is>
      </c>
      <c r="M198" s="16" t="inlineStr">
        <is>
          <t>—</t>
        </is>
      </c>
      <c r="N198" s="16" t="inlineStr">
        <is>
          <t>Review 2026-10-28</t>
        </is>
      </c>
    </row>
    <row r="199" ht="36.75" customHeight="1" s="36">
      <c r="A199" s="8" t="inlineStr">
        <is>
          <t>T16.01</t>
        </is>
      </c>
      <c r="B199" s="8" t="inlineStr">
        <is>
          <t>T16</t>
        </is>
      </c>
      <c r="C199" s="16" t="inlineStr">
        <is>
          <t>Written deliverables</t>
        </is>
      </c>
      <c r="D199" s="16" t="inlineStr">
        <is>
          <t>Outline 7–15 page technical report based on actual results</t>
        </is>
      </c>
      <c r="E199" s="16" t="inlineStr">
        <is>
          <t>Raveena</t>
        </is>
      </c>
      <c r="F199" s="16" t="inlineStr">
        <is>
          <t>Not Started</t>
        </is>
      </c>
      <c r="G199" s="16" t="inlineStr">
        <is>
          <t>Week 3</t>
        </is>
      </c>
      <c r="H199" s="14" t="n"/>
      <c r="I199" s="16" t="n"/>
      <c r="J199" s="16" t="n"/>
      <c r="K199" s="16" t="inlineStr">
        <is>
          <t>Report outline</t>
        </is>
      </c>
      <c r="L199" s="16" t="inlineStr">
        <is>
          <t>Critical</t>
        </is>
      </c>
      <c r="M199" s="16" t="inlineStr">
        <is>
          <t>T1.07</t>
        </is>
      </c>
      <c r="N199" s="16" t="inlineStr">
        <is>
          <t>PM · BR p.6</t>
        </is>
      </c>
    </row>
    <row r="200" ht="36.75" customHeight="1" s="36">
      <c r="A200" s="8" t="inlineStr">
        <is>
          <t>T16.02</t>
        </is>
      </c>
      <c r="B200" s="8" t="inlineStr">
        <is>
          <t>T16</t>
        </is>
      </c>
      <c r="C200" s="16" t="inlineStr">
        <is>
          <t>Written deliverables</t>
        </is>
      </c>
      <c r="D200" s="16" t="inlineStr">
        <is>
          <t>Complete methods, evidence, tests and limitations writeup</t>
        </is>
      </c>
      <c r="E200" s="16" t="inlineStr">
        <is>
          <t>Raveena</t>
        </is>
      </c>
      <c r="F200" s="16" t="inlineStr">
        <is>
          <t>Not Started</t>
        </is>
      </c>
      <c r="G200" s="16" t="inlineStr">
        <is>
          <t>Week 3</t>
        </is>
      </c>
      <c r="H200" s="14" t="n"/>
      <c r="I200" s="16" t="n"/>
      <c r="J200" s="16" t="n"/>
      <c r="K200" s="16" t="inlineStr">
        <is>
          <t>Report draft</t>
        </is>
      </c>
      <c r="L200" s="16" t="inlineStr">
        <is>
          <t>Critical</t>
        </is>
      </c>
      <c r="M200" s="16" t="inlineStr">
        <is>
          <t>T20.04</t>
        </is>
      </c>
      <c r="N200" s="16" t="inlineStr">
        <is>
          <t>PM</t>
        </is>
      </c>
    </row>
    <row r="201" ht="36.75" customHeight="1" s="36">
      <c r="A201" s="8" t="inlineStr">
        <is>
          <t>T16.03</t>
        </is>
      </c>
      <c r="B201" s="8" t="inlineStr">
        <is>
          <t>T16</t>
        </is>
      </c>
      <c r="C201" s="16" t="inlineStr">
        <is>
          <t>Written deliverables</t>
        </is>
      </c>
      <c r="D201" s="16" t="inlineStr">
        <is>
          <t>Create concise one-page portfolio tear sheet</t>
        </is>
      </c>
      <c r="E201" s="16" t="inlineStr">
        <is>
          <t>Raveena</t>
        </is>
      </c>
      <c r="F201" s="16" t="inlineStr">
        <is>
          <t>Not Started</t>
        </is>
      </c>
      <c r="G201" s="16" t="inlineStr">
        <is>
          <t>Week 3</t>
        </is>
      </c>
      <c r="H201" s="14" t="n"/>
      <c r="I201" s="16" t="n"/>
      <c r="J201" s="16" t="n"/>
      <c r="K201" s="16" t="inlineStr">
        <is>
          <t>Tear sheet (&lt;5 min read)</t>
        </is>
      </c>
      <c r="L201" s="16" t="inlineStr">
        <is>
          <t>Critical</t>
        </is>
      </c>
      <c r="M201" s="16" t="inlineStr">
        <is>
          <t>T20.04</t>
        </is>
      </c>
      <c r="N201" s="16" t="inlineStr">
        <is>
          <t>PM · BR p.6</t>
        </is>
      </c>
    </row>
    <row r="202" ht="36.75" customHeight="1" s="36">
      <c r="A202" s="8" t="inlineStr">
        <is>
          <t>T16.04</t>
        </is>
      </c>
      <c r="B202" s="8" t="inlineStr">
        <is>
          <t>T16</t>
        </is>
      </c>
      <c r="C202" s="16" t="inlineStr">
        <is>
          <t>Written deliverables</t>
        </is>
      </c>
      <c r="D202" s="16" t="inlineStr">
        <is>
          <t>Write one-page investment committee decision memo</t>
        </is>
      </c>
      <c r="E202" s="16" t="inlineStr">
        <is>
          <t>Raveena</t>
        </is>
      </c>
      <c r="F202" s="16" t="inlineStr">
        <is>
          <t>Not Started</t>
        </is>
      </c>
      <c r="G202" s="16" t="inlineStr">
        <is>
          <t>Week 3</t>
        </is>
      </c>
      <c r="H202" s="14" t="n"/>
      <c r="I202" s="16" t="n"/>
      <c r="J202" s="16" t="n"/>
      <c r="K202" s="16" t="inlineStr">
        <is>
          <t>Memo: accept / adjust risk limit / reject (D14)</t>
        </is>
      </c>
      <c r="L202" s="16" t="inlineStr">
        <is>
          <t>Critical</t>
        </is>
      </c>
      <c r="M202" s="16" t="inlineStr">
        <is>
          <t>T20.04</t>
        </is>
      </c>
      <c r="N202" s="16" t="inlineStr">
        <is>
          <t>PM · BR p.8</t>
        </is>
      </c>
    </row>
    <row r="203" ht="36.75" customHeight="1" s="36">
      <c r="A203" s="8" t="inlineStr">
        <is>
          <t>T16.05</t>
        </is>
      </c>
      <c r="B203" s="8" t="inlineStr">
        <is>
          <t>T16</t>
        </is>
      </c>
      <c r="C203" s="16" t="inlineStr">
        <is>
          <t>Written deliverables</t>
        </is>
      </c>
      <c r="D203" s="16" t="inlineStr">
        <is>
          <t>Cross-check all numbers between report, memo and app</t>
        </is>
      </c>
      <c r="E203" s="16" t="inlineStr">
        <is>
          <t>Raveena</t>
        </is>
      </c>
      <c r="F203" s="16" t="inlineStr">
        <is>
          <t>Not Started</t>
        </is>
      </c>
      <c r="G203" s="16" t="inlineStr">
        <is>
          <t>Week 3</t>
        </is>
      </c>
      <c r="H203" s="14" t="n"/>
      <c r="I203" s="16" t="n"/>
      <c r="J203" s="16" t="n"/>
      <c r="K203" s="16" t="inlineStr">
        <is>
          <t>Number audit (automated where possible)</t>
        </is>
      </c>
      <c r="L203" s="16" t="inlineStr">
        <is>
          <t>Critical</t>
        </is>
      </c>
      <c r="M203" s="16" t="inlineStr">
        <is>
          <t>T16.02–T16.04, T14.*</t>
        </is>
      </c>
      <c r="N203" s="16" t="inlineStr">
        <is>
          <t>PM · FJ calculation audit</t>
        </is>
      </c>
    </row>
    <row r="204" ht="36.75" customHeight="1" s="36">
      <c r="A204" s="8" t="inlineStr">
        <is>
          <t>T16.06</t>
        </is>
      </c>
      <c r="B204" s="8" t="inlineStr">
        <is>
          <t>T16</t>
        </is>
      </c>
      <c r="C204" s="16" t="inlineStr">
        <is>
          <t>Written deliverables</t>
        </is>
      </c>
      <c r="D204" s="16" t="inlineStr">
        <is>
          <t>Data sources and cleaning steps section</t>
        </is>
      </c>
      <c r="E204" s="16" t="inlineStr">
        <is>
          <t>Raveena</t>
        </is>
      </c>
      <c r="F204" s="16" t="inlineStr">
        <is>
          <t>Not Started</t>
        </is>
      </c>
      <c r="G204" s="16" t="inlineStr">
        <is>
          <t>Week 3</t>
        </is>
      </c>
      <c r="H204" s="14" t="n"/>
      <c r="I204" s="16" t="n"/>
      <c r="J204" s="16" t="n"/>
      <c r="K204" s="16" t="inlineStr">
        <is>
          <t>Report section from data/README.md</t>
        </is>
      </c>
      <c r="L204" s="16" t="inlineStr">
        <is>
          <t>Critical</t>
        </is>
      </c>
      <c r="M204" s="16" t="inlineStr">
        <is>
          <t>T2.11</t>
        </is>
      </c>
      <c r="N204" s="16" t="inlineStr">
        <is>
          <t>BR p.6</t>
        </is>
      </c>
    </row>
    <row r="205" ht="36.75" customHeight="1" s="36">
      <c r="A205" s="8" t="inlineStr">
        <is>
          <t>T16.07</t>
        </is>
      </c>
      <c r="B205" s="8" t="inlineStr">
        <is>
          <t>T16</t>
        </is>
      </c>
      <c r="C205" s="16" t="inlineStr">
        <is>
          <t>Written deliverables</t>
        </is>
      </c>
      <c r="D205" s="16" t="inlineStr">
        <is>
          <t>Report sections: return objective &amp; sustainable spending; benchmark and risk-limit research (appendix)</t>
        </is>
      </c>
      <c r="E205" s="16" t="inlineStr">
        <is>
          <t>Raveena</t>
        </is>
      </c>
      <c r="F205" s="16" t="inlineStr">
        <is>
          <t>Not Started</t>
        </is>
      </c>
      <c r="G205" s="16" t="inlineStr">
        <is>
          <t>Week 3</t>
        </is>
      </c>
      <c r="H205" s="14" t="n"/>
      <c r="I205" s="16" t="n"/>
      <c r="J205" s="16" t="n"/>
      <c r="K205" s="16" t="inlineStr">
        <is>
          <t>Report draft sections</t>
        </is>
      </c>
      <c r="L205" s="16" t="inlineStr">
        <is>
          <t>High</t>
        </is>
      </c>
      <c r="M205" s="16" t="inlineStr">
        <is>
          <t>T20.04</t>
        </is>
      </c>
      <c r="N205" s="16" t="inlineStr">
        <is>
          <t>DEC D3, D7, D12</t>
        </is>
      </c>
    </row>
    <row r="206" ht="36.75" customHeight="1" s="36">
      <c r="A206" s="8" t="inlineStr">
        <is>
          <t>T17.01</t>
        </is>
      </c>
      <c r="B206" s="8" t="inlineStr">
        <is>
          <t>T17</t>
        </is>
      </c>
      <c r="C206" s="16" t="inlineStr">
        <is>
          <t>Repository and reproducibility</t>
        </is>
      </c>
      <c r="D206" s="16" t="inlineStr">
        <is>
          <t>Finalize organized, documented GitHub repository</t>
        </is>
      </c>
      <c r="E206" s="16" t="inlineStr">
        <is>
          <t>Malindu</t>
        </is>
      </c>
      <c r="F206" s="16" t="inlineStr">
        <is>
          <t>Not Started</t>
        </is>
      </c>
      <c r="G206" s="16" t="inlineStr">
        <is>
          <t>Week 3</t>
        </is>
      </c>
      <c r="H206" s="14" t="n"/>
      <c r="I206" s="16" t="n"/>
      <c r="J206" s="16" t="n"/>
      <c r="K206" s="16" t="inlineStr">
        <is>
          <t>Public / judge-accessible repo</t>
        </is>
      </c>
      <c r="L206" s="16" t="inlineStr">
        <is>
          <t>Critical</t>
        </is>
      </c>
      <c r="M206" s="16" t="inlineStr">
        <is>
          <t>T1.01</t>
        </is>
      </c>
      <c r="N206" s="16" t="inlineStr">
        <is>
          <t>PM · BR p.6</t>
        </is>
      </c>
    </row>
    <row r="207" ht="36.75" customHeight="1" s="36">
      <c r="A207" s="8" t="inlineStr">
        <is>
          <t>T17.02</t>
        </is>
      </c>
      <c r="B207" s="8" t="inlineStr">
        <is>
          <t>T17</t>
        </is>
      </c>
      <c r="C207" s="16" t="inlineStr">
        <is>
          <t>Repository and reproducibility</t>
        </is>
      </c>
      <c r="D207" s="16" t="inlineStr">
        <is>
          <t>Pin package versions and supply reproducible setup</t>
        </is>
      </c>
      <c r="E207" s="16" t="inlineStr">
        <is>
          <t>Malindu</t>
        </is>
      </c>
      <c r="F207" s="16" t="inlineStr">
        <is>
          <t>Not Started</t>
        </is>
      </c>
      <c r="G207" s="16" t="inlineStr">
        <is>
          <t>Week 3</t>
        </is>
      </c>
      <c r="H207" s="14" t="n"/>
      <c r="I207" s="16" t="n"/>
      <c r="J207" s="16" t="n"/>
      <c r="K207" s="16" t="inlineStr">
        <is>
          <t>Pinned requirements</t>
        </is>
      </c>
      <c r="L207" s="16" t="inlineStr">
        <is>
          <t>Critical</t>
        </is>
      </c>
      <c r="M207" s="16" t="inlineStr">
        <is>
          <t>T1.02</t>
        </is>
      </c>
      <c r="N207" s="16" t="inlineStr">
        <is>
          <t>PM</t>
        </is>
      </c>
    </row>
    <row r="208" ht="36.75" customHeight="1" s="36">
      <c r="A208" s="8" t="inlineStr">
        <is>
          <t>T17.03</t>
        </is>
      </c>
      <c r="B208" s="8" t="inlineStr">
        <is>
          <t>T17</t>
        </is>
      </c>
      <c r="C208" s="16" t="inlineStr">
        <is>
          <t>Repository and reproducibility</t>
        </is>
      </c>
      <c r="D208" s="16" t="inlineStr">
        <is>
          <t>Provide one-command Streamlit run instructions</t>
        </is>
      </c>
      <c r="E208" s="16" t="inlineStr">
        <is>
          <t>Malindu</t>
        </is>
      </c>
      <c r="F208" s="16" t="inlineStr">
        <is>
          <t>In Progress</t>
        </is>
      </c>
      <c r="G208" s="16" t="inlineStr">
        <is>
          <t>Week 3</t>
        </is>
      </c>
      <c r="H208" s="14" t="n"/>
      <c r="I208" s="16" t="n"/>
      <c r="J208" s="16" t="n"/>
      <c r="K208" s="16" t="inlineStr">
        <is>
          <t>`python run_all.py --app` in README</t>
        </is>
      </c>
      <c r="L208" s="16" t="inlineStr">
        <is>
          <t>Critical</t>
        </is>
      </c>
      <c r="M208" s="16" t="inlineStr">
        <is>
          <t>T14.*</t>
        </is>
      </c>
      <c r="N208" s="16" t="inlineStr">
        <is>
          <t>PM · BR p.6 · entry point exists</t>
        </is>
      </c>
    </row>
    <row r="209" ht="36.75" customHeight="1" s="36">
      <c r="A209" s="8" t="inlineStr">
        <is>
          <t>T17.04</t>
        </is>
      </c>
      <c r="B209" s="8" t="inlineStr">
        <is>
          <t>T17</t>
        </is>
      </c>
      <c r="C209" s="16" t="inlineStr">
        <is>
          <t>Repository and reproducibility</t>
        </is>
      </c>
      <c r="D209" s="16" t="inlineStr">
        <is>
          <t>Test clean installation and reproduce key results</t>
        </is>
      </c>
      <c r="E209" s="16" t="inlineStr">
        <is>
          <t>Malindu</t>
        </is>
      </c>
      <c r="F209" s="16" t="inlineStr">
        <is>
          <t>Not Started</t>
        </is>
      </c>
      <c r="G209" s="16" t="inlineStr">
        <is>
          <t>Week 3</t>
        </is>
      </c>
      <c r="H209" s="14" t="n"/>
      <c r="I209" s="16" t="n"/>
      <c r="J209" s="16" t="n"/>
      <c r="K209" s="16" t="inlineStr">
        <is>
          <t>Clean-machine test record</t>
        </is>
      </c>
      <c r="L209" s="16" t="inlineStr">
        <is>
          <t>Critical</t>
        </is>
      </c>
      <c r="M209" s="16" t="inlineStr">
        <is>
          <t>T17.02</t>
        </is>
      </c>
      <c r="N209" s="16" t="inlineStr">
        <is>
          <t>PM</t>
        </is>
      </c>
    </row>
    <row r="210" ht="36.75" customHeight="1" s="36">
      <c r="A210" s="8" t="inlineStr">
        <is>
          <t>T17.05</t>
        </is>
      </c>
      <c r="B210" s="8" t="inlineStr">
        <is>
          <t>T17</t>
        </is>
      </c>
      <c r="C210" s="16" t="inlineStr">
        <is>
          <t>Repository and reproducibility</t>
        </is>
      </c>
      <c r="D210" s="16" t="inlineStr">
        <is>
          <t>Log reproducibility evidence and known environment issues</t>
        </is>
      </c>
      <c r="E210" s="16" t="inlineStr">
        <is>
          <t>Malindu</t>
        </is>
      </c>
      <c r="F210" s="16" t="inlineStr">
        <is>
          <t>Not Started</t>
        </is>
      </c>
      <c r="G210" s="16" t="inlineStr">
        <is>
          <t>Week 3</t>
        </is>
      </c>
      <c r="H210" s="14" t="n"/>
      <c r="I210" s="16" t="n"/>
      <c r="J210" s="16" t="n"/>
      <c r="K210" s="16" t="inlineStr">
        <is>
          <t>Reproducibility log</t>
        </is>
      </c>
      <c r="L210" s="16" t="inlineStr">
        <is>
          <t>High</t>
        </is>
      </c>
      <c r="M210" s="16" t="inlineStr">
        <is>
          <t>T17.04</t>
        </is>
      </c>
      <c r="N210" s="16" t="inlineStr">
        <is>
          <t>PM</t>
        </is>
      </c>
    </row>
    <row r="211" ht="36.75" customHeight="1" s="36">
      <c r="A211" s="8" t="inlineStr">
        <is>
          <t>T17.06</t>
        </is>
      </c>
      <c r="B211" s="8" t="inlineStr">
        <is>
          <t>T17</t>
        </is>
      </c>
      <c r="C211" s="16" t="inlineStr">
        <is>
          <t>Repository and reproducibility</t>
        </is>
      </c>
      <c r="D211" s="16" t="inlineStr">
        <is>
          <t>Decide which reference files to publish (third-party decks)</t>
        </is>
      </c>
      <c r="E211" s="16" t="inlineStr">
        <is>
          <t>Malindu</t>
        </is>
      </c>
      <c r="F211" s="16" t="inlineStr">
        <is>
          <t>Done</t>
        </is>
      </c>
      <c r="G211" s="16" t="inlineStr">
        <is>
          <t>Week 3</t>
        </is>
      </c>
      <c r="H211" s="14" t="n"/>
      <c r="I211" s="16" t="inlineStr">
        <is>
          <t>.gitignore rule: decks kept local, removed from history</t>
        </is>
      </c>
      <c r="J211" s="16" t="n"/>
      <c r="K211" s="16" t="inlineStr">
        <is>
          <t>.gitignore rule: decks kept local, removed from history</t>
        </is>
      </c>
      <c r="L211" s="16" t="inlineStr">
        <is>
          <t>Medium</t>
        </is>
      </c>
      <c r="M211" s="16" t="inlineStr">
        <is>
          <t>—</t>
        </is>
      </c>
      <c r="N211" s="16" t="inlineStr">
        <is>
          <t>REV</t>
        </is>
      </c>
    </row>
    <row r="212" ht="36.75" customHeight="1" s="36">
      <c r="A212" s="8" t="inlineStr">
        <is>
          <t>T17.07</t>
        </is>
      </c>
      <c r="B212" s="8" t="inlineStr">
        <is>
          <t>T17</t>
        </is>
      </c>
      <c r="C212" s="16" t="inlineStr">
        <is>
          <t>Repository and reproducibility</t>
        </is>
      </c>
      <c r="D212" s="16" t="inlineStr">
        <is>
          <t>Optional: deploy to Streamlit Community Cloud</t>
        </is>
      </c>
      <c r="E212" s="16" t="inlineStr">
        <is>
          <t>Malindu</t>
        </is>
      </c>
      <c r="F212" s="16" t="inlineStr">
        <is>
          <t>Not Started</t>
        </is>
      </c>
      <c r="G212" s="16" t="inlineStr">
        <is>
          <t>Week 3</t>
        </is>
      </c>
      <c r="H212" s="14" t="n"/>
      <c r="I212" s="16" t="n"/>
      <c r="J212" s="16" t="n"/>
      <c r="K212" s="16" t="inlineStr">
        <is>
          <t>Public app URL (D16)</t>
        </is>
      </c>
      <c r="L212" s="16" t="inlineStr">
        <is>
          <t>Low</t>
        </is>
      </c>
      <c r="M212" s="16" t="inlineStr">
        <is>
          <t>T17.04</t>
        </is>
      </c>
      <c r="N212" s="16" t="inlineStr">
        <is>
          <t>BR p.6 · DEC D16</t>
        </is>
      </c>
    </row>
    <row r="213" ht="36.75" customHeight="1" s="36">
      <c r="A213" s="8" t="inlineStr">
        <is>
          <t>T17.08</t>
        </is>
      </c>
      <c r="B213" s="8" t="inlineStr">
        <is>
          <t>T17</t>
        </is>
      </c>
      <c r="C213" s="16" t="inlineStr">
        <is>
          <t>Repository and reproducibility</t>
        </is>
      </c>
      <c r="D213" s="16" t="inlineStr">
        <is>
          <t>First git commit and judge-accessible GitHub remote</t>
        </is>
      </c>
      <c r="E213" s="16" t="inlineStr">
        <is>
          <t>Malindu</t>
        </is>
      </c>
      <c r="F213" s="16" t="inlineStr">
        <is>
          <t>Done</t>
        </is>
      </c>
      <c r="G213" s="16" t="inlineStr">
        <is>
          <t>Week 3</t>
        </is>
      </c>
      <c r="H213" s="14" t="n"/>
      <c r="I213" s="16" t="inlineStr">
        <is>
          <t>GitHub remote, branch version-1 pushed; URL in README</t>
        </is>
      </c>
      <c r="J213" s="16" t="n"/>
      <c r="K213" s="16" t="inlineStr">
        <is>
          <t>GitHub remote, branch version-1 pushed; URL in README</t>
        </is>
      </c>
      <c r="L213" s="16" t="inlineStr">
        <is>
          <t>Critical</t>
        </is>
      </c>
      <c r="M213" s="16" t="inlineStr">
        <is>
          <t>T17.06</t>
        </is>
      </c>
      <c r="N213" s="16" t="inlineStr">
        <is>
          <t>BR p.6 · Review</t>
        </is>
      </c>
    </row>
    <row r="214" ht="36.75" customHeight="1" s="36">
      <c r="A214" s="8" t="inlineStr">
        <is>
          <t>T17.09</t>
        </is>
      </c>
      <c r="B214" s="8" t="inlineStr">
        <is>
          <t>T17</t>
        </is>
      </c>
      <c r="C214" s="16" t="inlineStr">
        <is>
          <t>Repository and reproducibility</t>
        </is>
      </c>
      <c r="D214" s="16" t="inlineStr">
        <is>
          <t>Make research evidence reproducible from the one-command run (run_all --research)</t>
        </is>
      </c>
      <c r="E214" s="16" t="inlineStr">
        <is>
          <t>Malindu</t>
        </is>
      </c>
      <c r="F214" s="16" t="inlineStr">
        <is>
          <t>Not Started</t>
        </is>
      </c>
      <c r="G214" s="16" t="inlineStr">
        <is>
          <t>Week 3</t>
        </is>
      </c>
      <c r="H214" s="14" t="n"/>
      <c r="I214" s="16" t="n"/>
      <c r="J214" s="16" t="n"/>
      <c r="K214" s="16" t="inlineStr">
        <is>
          <t>run_all flag + README</t>
        </is>
      </c>
      <c r="L214" s="16" t="inlineStr">
        <is>
          <t>High</t>
        </is>
      </c>
      <c r="M214" s="16" t="inlineStr">
        <is>
          <t>T17.03</t>
        </is>
      </c>
      <c r="N214" s="16" t="inlineStr">
        <is>
          <t>Review: scripts/ not in pipeline</t>
        </is>
      </c>
    </row>
    <row r="215" ht="36.75" customHeight="1" s="36">
      <c r="A215" s="8" t="inlineStr">
        <is>
          <t>T18.01</t>
        </is>
      </c>
      <c r="B215" s="8" t="inlineStr">
        <is>
          <t>T18</t>
        </is>
      </c>
      <c r="C215" s="16" t="inlineStr">
        <is>
          <t>AI disclosure and validation log</t>
        </is>
      </c>
      <c r="D215" s="16" t="inlineStr">
        <is>
          <t>Keep a running list of AI tools and their purposes</t>
        </is>
      </c>
      <c r="E215" s="16" t="inlineStr">
        <is>
          <t>Malindu</t>
        </is>
      </c>
      <c r="F215" s="16" t="inlineStr">
        <is>
          <t>In Progress</t>
        </is>
      </c>
      <c r="G215" s="16" t="inlineStr">
        <is>
          <t>Ongoing</t>
        </is>
      </c>
      <c r="H215" s="14" t="n"/>
      <c r="I215" s="16" t="n"/>
      <c r="J215" s="16" t="n"/>
      <c r="K215" s="16" t="inlineStr">
        <is>
          <t>AI_DISCLOSURE.md rows</t>
        </is>
      </c>
      <c r="L215" s="16" t="inlineStr">
        <is>
          <t>Critical</t>
        </is>
      </c>
      <c r="M215" s="16" t="inlineStr">
        <is>
          <t>—</t>
        </is>
      </c>
      <c r="N215" s="16" t="inlineStr">
        <is>
          <t>PM · BR p.8</t>
        </is>
      </c>
    </row>
    <row r="216" ht="36.75" customHeight="1" s="36">
      <c r="A216" s="8" t="inlineStr">
        <is>
          <t>T18.02</t>
        </is>
      </c>
      <c r="B216" s="8" t="inlineStr">
        <is>
          <t>T18</t>
        </is>
      </c>
      <c r="C216" s="16" t="inlineStr">
        <is>
          <t>AI disclosure and validation log</t>
        </is>
      </c>
      <c r="D216" s="16" t="inlineStr">
        <is>
          <t>Record which code, figures or text used AI assistance</t>
        </is>
      </c>
      <c r="E216" s="16" t="inlineStr">
        <is>
          <t>Malindu</t>
        </is>
      </c>
      <c r="F216" s="16" t="inlineStr">
        <is>
          <t>In Progress</t>
        </is>
      </c>
      <c r="G216" s="16" t="inlineStr">
        <is>
          <t>Ongoing</t>
        </is>
      </c>
      <c r="H216" s="14" t="n"/>
      <c r="I216" s="16" t="n"/>
      <c r="J216" s="16" t="n"/>
      <c r="K216" s="16" t="inlineStr">
        <is>
          <t>Material components column</t>
        </is>
      </c>
      <c r="L216" s="16" t="inlineStr">
        <is>
          <t>Critical</t>
        </is>
      </c>
      <c r="M216" s="16" t="inlineStr">
        <is>
          <t>—</t>
        </is>
      </c>
      <c r="N216" s="16" t="inlineStr">
        <is>
          <t>PM · BR p.8</t>
        </is>
      </c>
    </row>
    <row r="217" ht="36.75" customHeight="1" s="36">
      <c r="A217" s="8" t="inlineStr">
        <is>
          <t>T18.03</t>
        </is>
      </c>
      <c r="B217" s="8" t="inlineStr">
        <is>
          <t>T18</t>
        </is>
      </c>
      <c r="C217" s="16" t="inlineStr">
        <is>
          <t>AI disclosure and validation log</t>
        </is>
      </c>
      <c r="D217" s="16" t="inlineStr">
        <is>
          <t>Document manual verification, corrections and tests</t>
        </is>
      </c>
      <c r="E217" s="16" t="inlineStr">
        <is>
          <t>Malindu</t>
        </is>
      </c>
      <c r="F217" s="16" t="inlineStr">
        <is>
          <t>In Progress</t>
        </is>
      </c>
      <c r="G217" s="16" t="inlineStr">
        <is>
          <t>Ongoing</t>
        </is>
      </c>
      <c r="H217" s="14" t="n"/>
      <c r="I217" s="16" t="n"/>
      <c r="J217" s="16" t="n"/>
      <c r="K217" s="16" t="inlineStr">
        <is>
          <t>HUMAN_VALIDATION_LOG.md</t>
        </is>
      </c>
      <c r="L217" s="16" t="inlineStr">
        <is>
          <t>Critical</t>
        </is>
      </c>
      <c r="M217" s="16" t="inlineStr">
        <is>
          <t>—</t>
        </is>
      </c>
      <c r="N217" s="16" t="inlineStr">
        <is>
          <t>PM · BR p.8</t>
        </is>
      </c>
    </row>
    <row r="218" ht="36.75" customHeight="1" s="36">
      <c r="A218" s="8" t="inlineStr">
        <is>
          <t>T18.04</t>
        </is>
      </c>
      <c r="B218" s="8" t="inlineStr">
        <is>
          <t>T18</t>
        </is>
      </c>
      <c r="C218" s="16" t="inlineStr">
        <is>
          <t>AI disclosure and validation log</t>
        </is>
      </c>
      <c r="D218" s="16" t="inlineStr">
        <is>
          <t>Review completeness of the log before submission</t>
        </is>
      </c>
      <c r="E218" s="16" t="inlineStr">
        <is>
          <t>Malindu</t>
        </is>
      </c>
      <c r="F218" s="16" t="inlineStr">
        <is>
          <t>Not Started</t>
        </is>
      </c>
      <c r="G218" s="16" t="inlineStr">
        <is>
          <t>Ongoing</t>
        </is>
      </c>
      <c r="H218" s="14" t="n"/>
      <c r="I218" s="16" t="n"/>
      <c r="J218" s="16" t="n"/>
      <c r="K218" s="16" t="inlineStr">
        <is>
          <t>Signed-off log</t>
        </is>
      </c>
      <c r="L218" s="16" t="inlineStr">
        <is>
          <t>Critical</t>
        </is>
      </c>
      <c r="M218" s="16" t="inlineStr">
        <is>
          <t>T18.01–T18.03</t>
        </is>
      </c>
      <c r="N218" s="16" t="inlineStr">
        <is>
          <t>PM</t>
        </is>
      </c>
    </row>
    <row r="219" ht="36.75" customHeight="1" s="36">
      <c r="A219" s="8" t="inlineStr">
        <is>
          <t>T18.05</t>
        </is>
      </c>
      <c r="B219" s="8" t="inlineStr">
        <is>
          <t>T18</t>
        </is>
      </c>
      <c r="C219" s="16" t="inlineStr">
        <is>
          <t>AI disclosure and validation log</t>
        </is>
      </c>
      <c r="D219" s="16" t="inlineStr">
        <is>
          <t>Use the brief's four disclosure columns exactly</t>
        </is>
      </c>
      <c r="E219" s="16" t="inlineStr">
        <is>
          <t>Malindu</t>
        </is>
      </c>
      <c r="F219" s="16" t="inlineStr">
        <is>
          <t>Not Started</t>
        </is>
      </c>
      <c r="G219" s="16" t="inlineStr">
        <is>
          <t>Ongoing</t>
        </is>
      </c>
      <c r="H219" s="14" t="n"/>
      <c r="I219" s="16" t="n"/>
      <c r="J219" s="16" t="n"/>
      <c r="K219" s="16" t="inlineStr">
        <is>
          <t>Tool · Purpose · Human validation · Material components</t>
        </is>
      </c>
      <c r="L219" s="16" t="inlineStr">
        <is>
          <t>High</t>
        </is>
      </c>
      <c r="M219" s="16" t="inlineStr">
        <is>
          <t>—</t>
        </is>
      </c>
      <c r="N219" s="16" t="inlineStr">
        <is>
          <t>BR p.8</t>
        </is>
      </c>
    </row>
    <row r="220" ht="36.75" customHeight="1" s="36">
      <c r="A220" s="8" t="inlineStr">
        <is>
          <t>T18.06</t>
        </is>
      </c>
      <c r="B220" s="8" t="inlineStr">
        <is>
          <t>T18</t>
        </is>
      </c>
      <c r="C220" s="16" t="inlineStr">
        <is>
          <t>AI disclosure and validation log</t>
        </is>
      </c>
      <c r="D220" s="16" t="inlineStr">
        <is>
          <t>Every member can explain each module (judging rule)</t>
        </is>
      </c>
      <c r="E220" s="16" t="inlineStr">
        <is>
          <t>All members</t>
        </is>
      </c>
      <c r="F220" s="16" t="inlineStr">
        <is>
          <t>Not Started</t>
        </is>
      </c>
      <c r="G220" s="16" t="inlineStr">
        <is>
          <t>Ongoing</t>
        </is>
      </c>
      <c r="H220" s="14" t="n"/>
      <c r="I220" s="16" t="n"/>
      <c r="J220" s="16" t="n"/>
      <c r="K220" s="16" t="inlineStr">
        <is>
          <t>Walk-through sessions per stage</t>
        </is>
      </c>
      <c r="L220" s="16" t="inlineStr">
        <is>
          <t>High</t>
        </is>
      </c>
      <c r="M220" s="16" t="inlineStr">
        <is>
          <t>each stage</t>
        </is>
      </c>
      <c r="N220" s="16" t="inlineStr">
        <is>
          <t>BR p.9</t>
        </is>
      </c>
    </row>
    <row r="221" ht="36.75" customHeight="1" s="36">
      <c r="A221" s="8" t="inlineStr">
        <is>
          <t>T18.07</t>
        </is>
      </c>
      <c r="B221" s="8" t="inlineStr">
        <is>
          <t>T18</t>
        </is>
      </c>
      <c r="C221" s="16" t="inlineStr">
        <is>
          <t>AI disclosure and validation log</t>
        </is>
      </c>
      <c r="D221" s="16" t="inlineStr">
        <is>
          <t>Record Claude Code use to date in the brief's four columns (tool, purpose, human validation, material components)</t>
        </is>
      </c>
      <c r="E221" s="16" t="inlineStr">
        <is>
          <t>Malindu</t>
        </is>
      </c>
      <c r="F221" s="16" t="inlineStr">
        <is>
          <t>In Progress</t>
        </is>
      </c>
      <c r="G221" s="16" t="inlineStr">
        <is>
          <t>Ongoing</t>
        </is>
      </c>
      <c r="H221" s="14" t="n"/>
      <c r="I221" s="16" t="n"/>
      <c r="J221" s="16" t="n"/>
      <c r="K221" s="16" t="inlineStr">
        <is>
          <t>AI_DISCLOSURE.md entries (team to review)</t>
        </is>
      </c>
      <c r="L221" s="16" t="inlineStr">
        <is>
          <t>Critical</t>
        </is>
      </c>
      <c r="M221" s="16" t="inlineStr">
        <is>
          <t>—</t>
        </is>
      </c>
      <c r="N221" s="16" t="inlineStr">
        <is>
          <t>BR p.8 · Review</t>
        </is>
      </c>
    </row>
    <row r="222" ht="36.75" customHeight="1" s="36">
      <c r="A222" s="8" t="inlineStr">
        <is>
          <t>T18.08</t>
        </is>
      </c>
      <c r="B222" s="8" t="inlineStr">
        <is>
          <t>T18</t>
        </is>
      </c>
      <c r="C222" s="16" t="inlineStr">
        <is>
          <t>AI disclosure and validation log</t>
        </is>
      </c>
      <c r="D222" s="16" t="inlineStr">
        <is>
          <t>Team sign-off of every HUMAN_VALIDATION_LOG entry (9 unsigned on 2026-10-28)</t>
        </is>
      </c>
      <c r="E222" s="16" t="inlineStr">
        <is>
          <t>All members</t>
        </is>
      </c>
      <c r="F222" s="16" t="inlineStr">
        <is>
          <t>Not Started</t>
        </is>
      </c>
      <c r="G222" s="16" t="inlineStr">
        <is>
          <t>Ongoing</t>
        </is>
      </c>
      <c r="H222" s="14" t="n"/>
      <c r="I222" s="16" t="n"/>
      <c r="J222" s="16" t="n"/>
      <c r="K222" s="16" t="inlineStr">
        <is>
          <t>Signed log</t>
        </is>
      </c>
      <c r="L222" s="16" t="inlineStr">
        <is>
          <t>Critical</t>
        </is>
      </c>
      <c r="M222" s="16" t="inlineStr">
        <is>
          <t>—</t>
        </is>
      </c>
      <c r="N222" s="16" t="inlineStr">
        <is>
          <t>BR p.8–9</t>
        </is>
      </c>
    </row>
    <row r="223" ht="36.75" customHeight="1" s="36">
      <c r="A223" s="8" t="inlineStr">
        <is>
          <t>T19.01</t>
        </is>
      </c>
      <c r="B223" s="8" t="inlineStr">
        <is>
          <t>T19</t>
        </is>
      </c>
      <c r="C223" s="16" t="inlineStr">
        <is>
          <t>Pitch and Q&amp;A prep</t>
        </is>
      </c>
      <c r="D223" s="16" t="inlineStr">
        <is>
          <t>Create a 10–12 minute presentation storyline and deck</t>
        </is>
      </c>
      <c r="E223" s="16" t="inlineStr">
        <is>
          <t>All members</t>
        </is>
      </c>
      <c r="F223" s="16" t="inlineStr">
        <is>
          <t>Not Started</t>
        </is>
      </c>
      <c r="G223" s="16" t="inlineStr">
        <is>
          <t>If finalist</t>
        </is>
      </c>
      <c r="H223" s="14" t="n"/>
      <c r="I223" s="16" t="n"/>
      <c r="J223" s="16" t="n"/>
      <c r="K223" s="16" t="inlineStr">
        <is>
          <t>Deck</t>
        </is>
      </c>
      <c r="L223" s="16" t="inlineStr">
        <is>
          <t>Medium</t>
        </is>
      </c>
      <c r="M223" s="16" t="inlineStr">
        <is>
          <t>T16.04</t>
        </is>
      </c>
      <c r="N223" s="16" t="inlineStr">
        <is>
          <t>PM · BR p.6</t>
        </is>
      </c>
    </row>
    <row r="224" ht="36.75" customHeight="1" s="36">
      <c r="A224" s="8" t="inlineStr">
        <is>
          <t>T19.02</t>
        </is>
      </c>
      <c r="B224" s="8" t="inlineStr">
        <is>
          <t>T19</t>
        </is>
      </c>
      <c r="C224" s="16" t="inlineStr">
        <is>
          <t>Pitch and Q&amp;A prep</t>
        </is>
      </c>
      <c r="D224" s="16" t="inlineStr">
        <is>
          <t>Assign presenters and rehearse timing</t>
        </is>
      </c>
      <c r="E224" s="16" t="inlineStr">
        <is>
          <t>All members</t>
        </is>
      </c>
      <c r="F224" s="16" t="inlineStr">
        <is>
          <t>Not Started</t>
        </is>
      </c>
      <c r="G224" s="16" t="inlineStr">
        <is>
          <t>If finalist</t>
        </is>
      </c>
      <c r="H224" s="14" t="n"/>
      <c r="I224" s="16" t="n"/>
      <c r="J224" s="16" t="n"/>
      <c r="K224" s="16" t="inlineStr">
        <is>
          <t>Rehearsal plan</t>
        </is>
      </c>
      <c r="L224" s="16" t="inlineStr">
        <is>
          <t>Medium</t>
        </is>
      </c>
      <c r="M224" s="16" t="inlineStr">
        <is>
          <t>T19.01</t>
        </is>
      </c>
      <c r="N224" s="16" t="inlineStr">
        <is>
          <t>PM</t>
        </is>
      </c>
    </row>
    <row r="225" ht="36.75" customHeight="1" s="36">
      <c r="A225" s="8" t="inlineStr">
        <is>
          <t>T19.03</t>
        </is>
      </c>
      <c r="B225" s="8" t="inlineStr">
        <is>
          <t>T19</t>
        </is>
      </c>
      <c r="C225" s="16" t="inlineStr">
        <is>
          <t>Pitch and Q&amp;A prep</t>
        </is>
      </c>
      <c r="D225" s="16" t="inlineStr">
        <is>
          <t>Prepare judges’ Q&amp;A on assumptions, VaR and crisis results</t>
        </is>
      </c>
      <c r="E225" s="16" t="inlineStr">
        <is>
          <t>All members</t>
        </is>
      </c>
      <c r="F225" s="16" t="inlineStr">
        <is>
          <t>Not Started</t>
        </is>
      </c>
      <c r="G225" s="16" t="inlineStr">
        <is>
          <t>If finalist</t>
        </is>
      </c>
      <c r="H225" s="14" t="n"/>
      <c r="I225" s="16" t="n"/>
      <c r="J225" s="16" t="n"/>
      <c r="K225" s="16" t="inlineStr">
        <is>
          <t>Q&amp;A bank</t>
        </is>
      </c>
      <c r="L225" s="16" t="inlineStr">
        <is>
          <t>Medium</t>
        </is>
      </c>
      <c r="M225" s="16" t="inlineStr">
        <is>
          <t>T19.01</t>
        </is>
      </c>
      <c r="N225" s="16" t="inlineStr">
        <is>
          <t>PM</t>
        </is>
      </c>
    </row>
    <row r="226" ht="36.75" customHeight="1" s="36">
      <c r="A226" s="8" t="inlineStr">
        <is>
          <t>T19.04</t>
        </is>
      </c>
      <c r="B226" s="8" t="inlineStr">
        <is>
          <t>T19</t>
        </is>
      </c>
      <c r="C226" s="16" t="inlineStr">
        <is>
          <t>Pitch and Q&amp;A prep</t>
        </is>
      </c>
      <c r="D226" s="16" t="inlineStr">
        <is>
          <t>Run mock Q&amp;A and refine explanations</t>
        </is>
      </c>
      <c r="E226" s="16" t="inlineStr">
        <is>
          <t>All members</t>
        </is>
      </c>
      <c r="F226" s="16" t="inlineStr">
        <is>
          <t>Not Started</t>
        </is>
      </c>
      <c r="G226" s="16" t="inlineStr">
        <is>
          <t>If finalist</t>
        </is>
      </c>
      <c r="H226" s="14" t="n"/>
      <c r="I226" s="16" t="n"/>
      <c r="J226" s="16" t="n"/>
      <c r="K226" s="16" t="inlineStr">
        <is>
          <t>Mock session notes</t>
        </is>
      </c>
      <c r="L226" s="16" t="inlineStr">
        <is>
          <t>Medium</t>
        </is>
      </c>
      <c r="M226" s="16" t="inlineStr">
        <is>
          <t>T19.03</t>
        </is>
      </c>
      <c r="N226" s="16" t="inlineStr">
        <is>
          <t>PM</t>
        </is>
      </c>
    </row>
    <row r="227" ht="36.75" customHeight="1" s="36">
      <c r="A227" s="8" t="inlineStr">
        <is>
          <t>T20.01</t>
        </is>
      </c>
      <c r="B227" s="8" t="inlineStr">
        <is>
          <t>T20</t>
        </is>
      </c>
      <c r="C227" s="16" t="inlineStr">
        <is>
          <t>Decision gate &amp; final recommendation (P3)</t>
        </is>
      </c>
      <c r="D227" s="16" t="inlineStr">
        <is>
          <t>Assemble committee evidence: six panels (allocation, return, loss limit, tail, model trust, governance)</t>
        </is>
      </c>
      <c r="E227" s="16" t="inlineStr">
        <is>
          <t>All members</t>
        </is>
      </c>
      <c r="F227" s="16" t="inlineStr">
        <is>
          <t>Not Started</t>
        </is>
      </c>
      <c r="G227" s="16" t="inlineStr">
        <is>
          <t>Week 3</t>
        </is>
      </c>
      <c r="H227" s="14" t="n"/>
      <c r="I227" s="16" t="n"/>
      <c r="J227" s="16" t="n"/>
      <c r="K227" s="16" t="inlineStr">
        <is>
          <t>Evidence pack</t>
        </is>
      </c>
      <c r="L227" s="16" t="inlineStr">
        <is>
          <t>Critical</t>
        </is>
      </c>
      <c r="M227" s="16" t="inlineStr">
        <is>
          <t>T5.05, T8.05, T10.07, T11.10</t>
        </is>
      </c>
      <c r="N227" s="16" t="inlineStr">
        <is>
          <t>FJ VD07 · masterclass</t>
        </is>
      </c>
    </row>
    <row r="228" ht="36.75" customHeight="1" s="36">
      <c r="A228" s="8" t="inlineStr">
        <is>
          <t>T20.02</t>
        </is>
      </c>
      <c r="B228" s="8" t="inlineStr">
        <is>
          <t>T20</t>
        </is>
      </c>
      <c r="C228" s="16" t="inlineStr">
        <is>
          <t>Decision gate &amp; final recommendation (P3)</t>
        </is>
      </c>
      <c r="D228" s="16" t="inlineStr">
        <is>
          <t>Suitability gate: validated and within client limits?</t>
        </is>
      </c>
      <c r="E228" s="16" t="inlineStr">
        <is>
          <t>All members</t>
        </is>
      </c>
      <c r="F228" s="16" t="inlineStr">
        <is>
          <t>Not Started</t>
        </is>
      </c>
      <c r="G228" s="16" t="inlineStr">
        <is>
          <t>Week 3</t>
        </is>
      </c>
      <c r="H228" s="14" t="n"/>
      <c r="I228" s="16" t="n"/>
      <c r="J228" s="16" t="n"/>
      <c r="K228" s="16" t="inlineStr">
        <is>
          <t>Pass/fail record per candidate</t>
        </is>
      </c>
      <c r="L228" s="16" t="inlineStr">
        <is>
          <t>Critical</t>
        </is>
      </c>
      <c r="M228" s="16" t="inlineStr">
        <is>
          <t>T20.01, T3.09</t>
        </is>
      </c>
      <c r="N228" s="16" t="inlineStr">
        <is>
          <t>FJ VD08</t>
        </is>
      </c>
    </row>
    <row r="229" ht="36.75" customHeight="1" s="36">
      <c r="A229" s="8" t="inlineStr">
        <is>
          <t>T20.03</t>
        </is>
      </c>
      <c r="B229" s="8" t="inlineStr">
        <is>
          <t>T20</t>
        </is>
      </c>
      <c r="C229" s="16" t="inlineStr">
        <is>
          <t>Decision gate &amp; final recommendation (P3)</t>
        </is>
      </c>
      <c r="D229" s="16" t="inlineStr">
        <is>
          <t>Revise &amp; retest loop when the gate fails</t>
        </is>
      </c>
      <c r="E229" s="16" t="inlineStr">
        <is>
          <t>All members</t>
        </is>
      </c>
      <c r="F229" s="16" t="inlineStr">
        <is>
          <t>Not Started</t>
        </is>
      </c>
      <c r="G229" s="16" t="inlineStr">
        <is>
          <t>Week 3</t>
        </is>
      </c>
      <c r="H229" s="14" t="n"/>
      <c r="I229" s="16" t="n"/>
      <c r="J229" s="16" t="n"/>
      <c r="K229" s="16" t="inlineStr">
        <is>
          <t>Revision log (what changed, rerun results)</t>
        </is>
      </c>
      <c r="L229" s="16" t="inlineStr">
        <is>
          <t>High</t>
        </is>
      </c>
      <c r="M229" s="16" t="inlineStr">
        <is>
          <t>T20.02</t>
        </is>
      </c>
      <c r="N229" s="16" t="inlineStr">
        <is>
          <t>FJ VD09</t>
        </is>
      </c>
    </row>
    <row r="230" ht="36.75" customHeight="1" s="36">
      <c r="A230" s="8" t="inlineStr">
        <is>
          <t>T20.04</t>
        </is>
      </c>
      <c r="B230" s="8" t="inlineStr">
        <is>
          <t>T20</t>
        </is>
      </c>
      <c r="C230" s="16" t="inlineStr">
        <is>
          <t>Decision gate &amp; final recommendation (P3)</t>
        </is>
      </c>
      <c r="D230" s="16" t="inlineStr">
        <is>
          <t>Final P3 recommendation: weights, horizon, expected real return, downside</t>
        </is>
      </c>
      <c r="E230" s="16" t="inlineStr">
        <is>
          <t>All members</t>
        </is>
      </c>
      <c r="F230" s="16" t="inlineStr">
        <is>
          <t>Not Started</t>
        </is>
      </c>
      <c r="G230" s="16" t="inlineStr">
        <is>
          <t>Week 3</t>
        </is>
      </c>
      <c r="H230" s="14" t="n"/>
      <c r="I230" s="16" t="n"/>
      <c r="J230" s="16" t="n"/>
      <c r="K230" s="16" t="inlineStr">
        <is>
          <t>outputs/p3_decision</t>
        </is>
      </c>
      <c r="L230" s="16" t="inlineStr">
        <is>
          <t>Critical</t>
        </is>
      </c>
      <c r="M230" s="16" t="inlineStr">
        <is>
          <t>T20.02</t>
        </is>
      </c>
      <c r="N230" s="16" t="inlineStr">
        <is>
          <t>FJ VD10 · BR p.8</t>
        </is>
      </c>
    </row>
    <row r="231" ht="36.75" customHeight="1" s="36">
      <c r="A231" s="8" t="inlineStr">
        <is>
          <t>T20.05</t>
        </is>
      </c>
      <c r="B231" s="8" t="inlineStr">
        <is>
          <t>T20</t>
        </is>
      </c>
      <c r="C231" s="16" t="inlineStr">
        <is>
          <t>Decision gate &amp; final recommendation (P3)</t>
        </is>
      </c>
      <c r="D231" s="16" t="inlineStr">
        <is>
          <t>Monitoring triggers and exit / de-risking rules</t>
        </is>
      </c>
      <c r="E231" s="16" t="inlineStr">
        <is>
          <t>All members</t>
        </is>
      </c>
      <c r="F231" s="16" t="inlineStr">
        <is>
          <t>Not Started</t>
        </is>
      </c>
      <c r="G231" s="16" t="inlineStr">
        <is>
          <t>Week 3</t>
        </is>
      </c>
      <c r="H231" s="14" t="n"/>
      <c r="I231" s="16" t="n"/>
      <c r="J231" s="16" t="n"/>
      <c r="K231" s="16" t="inlineStr">
        <is>
          <t>Trigger table</t>
        </is>
      </c>
      <c r="L231" s="16" t="inlineStr">
        <is>
          <t>High</t>
        </is>
      </c>
      <c r="M231" s="16" t="inlineStr">
        <is>
          <t>T20.04</t>
        </is>
      </c>
      <c r="N231" s="16" t="inlineStr">
        <is>
          <t>FJ VD10</t>
        </is>
      </c>
    </row>
    <row r="232" ht="36.75" customHeight="1" s="36">
      <c r="A232" s="8" t="inlineStr">
        <is>
          <t>T20.06</t>
        </is>
      </c>
      <c r="B232" s="8" t="inlineStr">
        <is>
          <t>T20</t>
        </is>
      </c>
      <c r="C232" s="16" t="inlineStr">
        <is>
          <t>Decision gate &amp; final recommendation (P3)</t>
        </is>
      </c>
      <c r="D232" s="16" t="inlineStr">
        <is>
          <t>Drawdown ↔ spending trade-off table in memo and app</t>
        </is>
      </c>
      <c r="E232" s="16" t="inlineStr">
        <is>
          <t>All members</t>
        </is>
      </c>
      <c r="F232" s="16" t="inlineStr">
        <is>
          <t>Not Started</t>
        </is>
      </c>
      <c r="G232" s="16" t="inlineStr">
        <is>
          <t>Week 3</t>
        </is>
      </c>
      <c r="H232" s="14" t="n"/>
      <c r="I232" s="16" t="n"/>
      <c r="J232" s="16" t="n"/>
      <c r="K232" s="16" t="inlineStr">
        <is>
          <t>Memo section + app widget</t>
        </is>
      </c>
      <c r="L232" s="16" t="inlineStr">
        <is>
          <t>High</t>
        </is>
      </c>
      <c r="M232" s="16" t="inlineStr">
        <is>
          <t>T3.19</t>
        </is>
      </c>
      <c r="N232" s="16" t="inlineStr">
        <is>
          <t>Research §4</t>
        </is>
      </c>
    </row>
    <row r="233" ht="36.75" customHeight="1" s="36">
      <c r="A233" s="8" t="inlineStr">
        <is>
          <t>T20.07</t>
        </is>
      </c>
      <c r="B233" s="8" t="inlineStr">
        <is>
          <t>T20</t>
        </is>
      </c>
      <c r="C233" s="16" t="inlineStr">
        <is>
          <t>Decision gate &amp; final recommendation (P3)</t>
        </is>
      </c>
      <c r="D233" s="16" t="inlineStr">
        <is>
          <t>Walk-forward (rolling-origin) validation of the selection rule (O1 vs O2), origins 2009–2021, CMA as of each origin</t>
        </is>
      </c>
      <c r="E233" s="16" t="inlineStr">
        <is>
          <t>Malindu</t>
        </is>
      </c>
      <c r="F233" s="16" t="inlineStr">
        <is>
          <t>Not Started</t>
        </is>
      </c>
      <c r="G233" s="16" t="inlineStr">
        <is>
          <t>Week 3</t>
        </is>
      </c>
      <c r="H233" s="14" t="n"/>
      <c r="I233" s="16" t="n"/>
      <c r="J233" s="16" t="n"/>
      <c r="K233" s="16" t="inlineStr">
        <is>
          <t>Rule-level OOS table (condition M7)</t>
        </is>
      </c>
      <c r="L233" s="16" t="inlineStr">
        <is>
          <t>Critical</t>
        </is>
      </c>
      <c r="M233" s="16" t="inlineStr">
        <is>
          <t>T4.25</t>
        </is>
      </c>
      <c r="N233" s="16" t="inlineStr">
        <is>
          <t>Selection-bias precaution 2026-10-29</t>
        </is>
      </c>
    </row>
    <row r="234" ht="36.75" customHeight="1" s="36">
      <c r="A234" s="8" t="inlineStr">
        <is>
          <t>T20.08</t>
        </is>
      </c>
      <c r="B234" s="8" t="inlineStr">
        <is>
          <t>T20</t>
        </is>
      </c>
      <c r="C234" s="16" t="inlineStr">
        <is>
          <t>Decision gate &amp; final recommendation (P3)</t>
        </is>
      </c>
      <c r="D234" s="16" t="inlineStr">
        <is>
          <t>Recalibrate D23 rolling-ES99 watch trigger (fires on 26% of days at 2.0%)</t>
        </is>
      </c>
      <c r="E234" s="16" t="inlineStr">
        <is>
          <t>All members</t>
        </is>
      </c>
      <c r="F234" s="16" t="inlineStr">
        <is>
          <t>Not Started</t>
        </is>
      </c>
      <c r="G234" s="16" t="inlineStr">
        <is>
          <t>Week 3</t>
        </is>
      </c>
      <c r="H234" s="14" t="n"/>
      <c r="I234" s="16" t="n"/>
      <c r="J234" s="16" t="n"/>
      <c r="K234" s="16" t="inlineStr">
        <is>
          <t>Proposed trigger levels + frequency table</t>
        </is>
      </c>
      <c r="L234" s="16" t="inlineStr">
        <is>
          <t>Medium</t>
        </is>
      </c>
      <c r="M234" s="16" t="inlineStr">
        <is>
          <t>T10.12</t>
        </is>
      </c>
      <c r="N234" s="16" t="inlineStr">
        <is>
          <t>Limit-stability finding 2026-10-29</t>
        </is>
      </c>
    </row>
    <row r="235" ht="36.75" customHeight="1" s="36">
      <c r="A235" s="8" t="inlineStr">
        <is>
          <t>T20.09</t>
        </is>
      </c>
      <c r="B235" s="8" t="inlineStr">
        <is>
          <t>T20</t>
        </is>
      </c>
      <c r="C235" s="16" t="inlineStr">
        <is>
          <t>Decision gate &amp; final recommendation (P3)</t>
        </is>
      </c>
      <c r="D235" s="16" t="inlineStr">
        <is>
          <t>Endowment sustainability &amp; recovery stress test: 15/20/25% falls, 1/3/5/7-year and lost-decade recoveries, D24 at 2.8%, costs, taxes, inflation; market view; bootstrap</t>
        </is>
      </c>
      <c r="E235" s="16" t="inlineStr">
        <is>
          <t>All members</t>
        </is>
      </c>
      <c r="F235" s="16" t="inlineStr">
        <is>
          <t>Done</t>
        </is>
      </c>
      <c r="G235" s="16" t="inlineStr">
        <is>
          <t>Week 3</t>
        </is>
      </c>
      <c r="H235" s="14" t="n"/>
      <c r="I235" s="16" t="inlineStr">
        <is>
          <t>sustainability_*.csv + research_t425_eval_sustainability_*.csv</t>
        </is>
      </c>
      <c r="J235" s="16" t="n"/>
      <c r="K235" s="16" t="inlineStr">
        <is>
          <t>sustainability_*.csv + research_t425_eval_sustainability_*.csv</t>
        </is>
      </c>
      <c r="L235" s="16" t="inlineStr">
        <is>
          <t>Critical</t>
        </is>
      </c>
      <c r="M235" s="16" t="inlineStr">
        <is>
          <t>T20.10</t>
        </is>
      </c>
      <c r="N235" s="16" t="inlineStr">
        <is>
          <t>User request 2026-10-29</t>
        </is>
      </c>
    </row>
    <row r="236" ht="36.75" customHeight="1" s="36">
      <c r="A236" s="8" t="inlineStr">
        <is>
          <t>T20.10</t>
        </is>
      </c>
      <c r="B236" s="8" t="inlineStr">
        <is>
          <t>T20</t>
        </is>
      </c>
      <c r="C236" s="16" t="inlineStr">
        <is>
          <t>Decision gate &amp; final recommendation (P3)</t>
        </is>
      </c>
      <c r="D236" s="16" t="inlineStr">
        <is>
          <t>Audit fix: 5-year drawdown test seed-tuned (4k paths) → 32k paths, block-length sensitivity; D30 2.8% propagated to hurdle and spending</t>
        </is>
      </c>
      <c r="E236" s="16" t="inlineStr">
        <is>
          <t>Malindu</t>
        </is>
      </c>
      <c r="F236" s="16" t="inlineStr">
        <is>
          <t>Done</t>
        </is>
      </c>
      <c r="G236" s="16" t="inlineStr">
        <is>
          <t>Week 3</t>
        </is>
      </c>
      <c r="H236" s="14" t="n"/>
      <c r="I236" s="16" t="inlineStr">
        <is>
          <t>Pipeline rerun, D26 re-selected</t>
        </is>
      </c>
      <c r="J236" s="16" t="n"/>
      <c r="K236" s="16" t="inlineStr">
        <is>
          <t>Pipeline rerun, D26 re-selected</t>
        </is>
      </c>
      <c r="L236" s="16" t="inlineStr">
        <is>
          <t>Critical</t>
        </is>
      </c>
      <c r="M236" s="16" t="inlineStr">
        <is>
          <t>—</t>
        </is>
      </c>
      <c r="N236" s="16" t="inlineStr">
        <is>
          <t>Audit 2026-10-29</t>
        </is>
      </c>
    </row>
    <row r="237" ht="36.75" customHeight="1" s="36">
      <c r="A237" s="8" t="inlineStr">
        <is>
          <t>T21.01</t>
        </is>
      </c>
      <c r="B237" s="8" t="inlineStr">
        <is>
          <t>T21</t>
        </is>
      </c>
      <c r="C237" s="16" t="inlineStr">
        <is>
          <t>Quality gates &amp; compliance QA</t>
        </is>
      </c>
      <c r="D237" s="16" t="inlineStr">
        <is>
          <t>Compliance check after every stage (R1–R20)</t>
        </is>
      </c>
      <c r="E237" s="16" t="inlineStr">
        <is>
          <t>Malindu</t>
        </is>
      </c>
      <c r="F237" s="16" t="inlineStr">
        <is>
          <t>In Progress</t>
        </is>
      </c>
      <c r="G237" s="16" t="inlineStr">
        <is>
          <t>Ongoing</t>
        </is>
      </c>
      <c r="H237" s="14" t="n"/>
      <c r="I237" s="16" t="n"/>
      <c r="J237" s="16" t="n"/>
      <c r="K237" s="16" t="inlineStr">
        <is>
          <t>COMPLIANCE_MATRIX.md updated</t>
        </is>
      </c>
      <c r="L237" s="16" t="inlineStr">
        <is>
          <t>Critical</t>
        </is>
      </c>
      <c r="M237" s="16" t="inlineStr">
        <is>
          <t>each stage</t>
        </is>
      </c>
      <c r="N237" s="16" t="inlineStr">
        <is>
          <t>FJ N01 governance · REV</t>
        </is>
      </c>
    </row>
    <row r="238" ht="36.75" customHeight="1" s="36">
      <c r="A238" s="8" t="inlineStr">
        <is>
          <t>T21.02</t>
        </is>
      </c>
      <c r="B238" s="8" t="inlineStr">
        <is>
          <t>T21</t>
        </is>
      </c>
      <c r="C238" s="16" t="inlineStr">
        <is>
          <t>Quality gates &amp; compliance QA</t>
        </is>
      </c>
      <c r="D238" s="16" t="inlineStr">
        <is>
          <t>Out-of-sample integrity gate: no leakage, frozen test, trial log</t>
        </is>
      </c>
      <c r="E238" s="16" t="inlineStr">
        <is>
          <t>Malindu</t>
        </is>
      </c>
      <c r="F238" s="16" t="inlineStr">
        <is>
          <t>Not Started</t>
        </is>
      </c>
      <c r="G238" s="16" t="inlineStr">
        <is>
          <t>Ongoing</t>
        </is>
      </c>
      <c r="H238" s="14" t="n"/>
      <c r="I238" s="16" t="n"/>
      <c r="J238" s="16" t="n"/>
      <c r="K238" s="16" t="inlineStr">
        <is>
          <t>Leakage tests + trial log</t>
        </is>
      </c>
      <c r="L238" s="16" t="inlineStr">
        <is>
          <t>Critical</t>
        </is>
      </c>
      <c r="M238" s="16" t="inlineStr">
        <is>
          <t>T2.13</t>
        </is>
      </c>
      <c r="N238" s="16" t="inlineStr">
        <is>
          <t>FJ OOS integrity gate</t>
        </is>
      </c>
    </row>
    <row r="239" ht="36.75" customHeight="1" s="36">
      <c r="A239" s="8" t="inlineStr">
        <is>
          <t>T21.03</t>
        </is>
      </c>
      <c r="B239" s="8" t="inlineStr">
        <is>
          <t>T21</t>
        </is>
      </c>
      <c r="C239" s="16" t="inlineStr">
        <is>
          <t>Quality gates &amp; compliance QA</t>
        </is>
      </c>
      <c r="D239" s="16" t="inlineStr">
        <is>
          <t>Calculation audit: units, signs, horizon consistent across stages</t>
        </is>
      </c>
      <c r="E239" s="16" t="inlineStr">
        <is>
          <t>Malindu</t>
        </is>
      </c>
      <c r="F239" s="16" t="inlineStr">
        <is>
          <t>Not Started</t>
        </is>
      </c>
      <c r="G239" s="16" t="inlineStr">
        <is>
          <t>Ongoing</t>
        </is>
      </c>
      <c r="H239" s="14" t="n"/>
      <c r="I239" s="16" t="n"/>
      <c r="J239" s="16" t="n"/>
      <c r="K239" s="16" t="inlineStr">
        <is>
          <t>Audit checklist vs CALCULATION_DICTIONARY.md</t>
        </is>
      </c>
      <c r="L239" s="16" t="inlineStr">
        <is>
          <t>Critical</t>
        </is>
      </c>
      <c r="M239" s="16" t="inlineStr">
        <is>
          <t>each stage</t>
        </is>
      </c>
      <c r="N239" s="16" t="inlineStr">
        <is>
          <t>FJ calculation audit</t>
        </is>
      </c>
    </row>
    <row r="240" ht="36.75" customHeight="1" s="36">
      <c r="A240" s="8" t="inlineStr">
        <is>
          <t>T21.04</t>
        </is>
      </c>
      <c r="B240" s="8" t="inlineStr">
        <is>
          <t>T21</t>
        </is>
      </c>
      <c r="C240" s="16" t="inlineStr">
        <is>
          <t>Quality gates &amp; compliance QA</t>
        </is>
      </c>
      <c r="D240" s="16" t="inlineStr">
        <is>
          <t>App / code QA: required panels, one-command run, tests green</t>
        </is>
      </c>
      <c r="E240" s="16" t="inlineStr">
        <is>
          <t>Malindu</t>
        </is>
      </c>
      <c r="F240" s="16" t="inlineStr">
        <is>
          <t>Not Started</t>
        </is>
      </c>
      <c r="G240" s="16" t="inlineStr">
        <is>
          <t>Ongoing</t>
        </is>
      </c>
      <c r="H240" s="14" t="n"/>
      <c r="I240" s="16" t="n"/>
      <c r="J240" s="16" t="n"/>
      <c r="K240" s="16" t="inlineStr">
        <is>
          <t>QA checklist</t>
        </is>
      </c>
      <c r="L240" s="16" t="inlineStr">
        <is>
          <t>Critical</t>
        </is>
      </c>
      <c r="M240" s="16" t="inlineStr">
        <is>
          <t>T14.*</t>
        </is>
      </c>
      <c r="N240" s="16" t="inlineStr">
        <is>
          <t>FJ app/code QA</t>
        </is>
      </c>
    </row>
    <row r="241" ht="36.75" customHeight="1" s="36">
      <c r="A241" s="8" t="inlineStr">
        <is>
          <t>T21.05</t>
        </is>
      </c>
      <c r="B241" s="8" t="inlineStr">
        <is>
          <t>T21</t>
        </is>
      </c>
      <c r="C241" s="16" t="inlineStr">
        <is>
          <t>Quality gates &amp; compliance QA</t>
        </is>
      </c>
      <c r="D241" s="16" t="inlineStr">
        <is>
          <t>Update FigJam board to match approved decisions (edit list in docs/research/PROJECT_REVIEW_2026-10-28.md §4)</t>
        </is>
      </c>
      <c r="E241" s="16" t="inlineStr">
        <is>
          <t>Malindu</t>
        </is>
      </c>
      <c r="F241" s="16" t="inlineStr">
        <is>
          <t>Not Started</t>
        </is>
      </c>
      <c r="G241" s="16" t="inlineStr">
        <is>
          <t>Ongoing</t>
        </is>
      </c>
      <c r="H241" s="14" t="n"/>
      <c r="I241" s="16" t="n"/>
      <c r="J241" s="16" t="n"/>
      <c r="K241" s="16" t="inlineStr">
        <is>
          <t>Board matches MODEL_DESIGN.md</t>
        </is>
      </c>
      <c r="L241" s="16" t="inlineStr">
        <is>
          <t>High</t>
        </is>
      </c>
      <c r="M241" s="16" t="inlineStr">
        <is>
          <t>—</t>
        </is>
      </c>
      <c r="N241" s="16" t="inlineStr">
        <is>
          <t>DEC D14, D20</t>
        </is>
      </c>
    </row>
    <row r="242" ht="36.75" customHeight="1" s="36">
      <c r="A242" s="8" t="inlineStr">
        <is>
          <t>T21.06</t>
        </is>
      </c>
      <c r="B242" s="8" t="inlineStr">
        <is>
          <t>T21</t>
        </is>
      </c>
      <c r="C242" s="16" t="inlineStr">
        <is>
          <t>Quality gates &amp; compliance QA</t>
        </is>
      </c>
      <c r="D242" s="16" t="inlineStr">
        <is>
          <t>Add R16–R20 to compliance matrix; update every status with evidence</t>
        </is>
      </c>
      <c r="E242" s="16" t="inlineStr">
        <is>
          <t>Malindu</t>
        </is>
      </c>
      <c r="F242" s="16" t="inlineStr">
        <is>
          <t>Done</t>
        </is>
      </c>
      <c r="G242" s="16" t="inlineStr">
        <is>
          <t>Ongoing</t>
        </is>
      </c>
      <c r="H242" s="14" t="n"/>
      <c r="I242" s="16" t="inlineStr">
        <is>
          <t>COMPLIANCE_MATRIX.md</t>
        </is>
      </c>
      <c r="J242" s="16" t="n"/>
      <c r="K242" s="16" t="inlineStr">
        <is>
          <t>COMPLIANCE_MATRIX.md</t>
        </is>
      </c>
      <c r="L242" s="16" t="inlineStr">
        <is>
          <t>Critical</t>
        </is>
      </c>
      <c r="M242" s="16" t="inlineStr">
        <is>
          <t>—</t>
        </is>
      </c>
      <c r="N242" s="16" t="inlineStr">
        <is>
          <t>Review 2026-10-28</t>
        </is>
      </c>
    </row>
    <row r="243" ht="36.75" customHeight="1" s="36">
      <c r="A243" s="8" t="inlineStr">
        <is>
          <t>T21.07</t>
        </is>
      </c>
      <c r="B243" s="8" t="inlineStr">
        <is>
          <t>T21</t>
        </is>
      </c>
      <c r="C243" s="16" t="inlineStr">
        <is>
          <t>Quality gates &amp; compliance QA</t>
        </is>
      </c>
      <c r="D243" s="16" t="inlineStr">
        <is>
          <t>Record innovations to date in the innovation log</t>
        </is>
      </c>
      <c r="E243" s="16" t="inlineStr">
        <is>
          <t>Sujan</t>
        </is>
      </c>
      <c r="F243" s="16" t="inlineStr">
        <is>
          <t>Done</t>
        </is>
      </c>
      <c r="G243" s="16" t="inlineStr">
        <is>
          <t>Ongoing</t>
        </is>
      </c>
      <c r="H243" s="14" t="n"/>
      <c r="I243" s="16" t="inlineStr">
        <is>
          <t>INNOVATION_LOG.md</t>
        </is>
      </c>
      <c r="J243" s="16" t="n"/>
      <c r="K243" s="16" t="inlineStr">
        <is>
          <t>INNOVATION_LOG.md</t>
        </is>
      </c>
      <c r="L243" s="16" t="inlineStr">
        <is>
          <t>High</t>
        </is>
      </c>
      <c r="M243" s="16" t="inlineStr">
        <is>
          <t>—</t>
        </is>
      </c>
      <c r="N243" s="16" t="inlineStr">
        <is>
          <t>Review 2026-10-28</t>
        </is>
      </c>
    </row>
    <row r="244" ht="36.75" customHeight="1" s="36">
      <c r="A244" s="8" t="inlineStr">
        <is>
          <t>T21.08</t>
        </is>
      </c>
      <c r="B244" s="8" t="inlineStr">
        <is>
          <t>T21</t>
        </is>
      </c>
      <c r="C244" s="16" t="inlineStr">
        <is>
          <t>Quality gates &amp; compliance QA</t>
        </is>
      </c>
      <c r="D244" s="16" t="inlineStr">
        <is>
          <t>Generate both Excel trackers from the repo tracker (tracking/export_excel.py)</t>
        </is>
      </c>
      <c r="E244" s="16" t="inlineStr">
        <is>
          <t>Malindu</t>
        </is>
      </c>
      <c r="F244" s="16" t="inlineStr">
        <is>
          <t>Done</t>
        </is>
      </c>
      <c r="G244" s="16" t="inlineStr">
        <is>
          <t>Ongoing</t>
        </is>
      </c>
      <c r="H244" s="14" t="n"/>
      <c r="I244" s="16" t="inlineStr">
        <is>
          <t>tracking/exports/*.xlsm</t>
        </is>
      </c>
      <c r="J244" s="16" t="n"/>
      <c r="K244" s="16" t="inlineStr">
        <is>
          <t>tracking/exports/*.xlsm</t>
        </is>
      </c>
      <c r="L244" s="16" t="inlineStr">
        <is>
          <t>High</t>
        </is>
      </c>
      <c r="M244" s="16" t="inlineStr">
        <is>
          <t>—</t>
        </is>
      </c>
      <c r="N244" s="16" t="inlineStr">
        <is>
          <t>Review 2026-10-28</t>
        </is>
      </c>
    </row>
    <row r="245" ht="15.75" customHeight="1" s="36"/>
    <row r="246" ht="15.75" customHeight="1" s="36"/>
    <row r="247" ht="15.75" customHeight="1" s="36"/>
    <row r="248" ht="15.75" customHeight="1" s="36"/>
    <row r="249" ht="15.75" customHeight="1" s="36"/>
    <row r="250" ht="15.75" customHeight="1" s="36"/>
    <row r="251" ht="15.75" customHeight="1" s="36"/>
    <row r="252" ht="15.75" customHeight="1" s="36"/>
    <row r="253" ht="15.75" customHeight="1" s="36"/>
    <row r="254" ht="15.75" customHeight="1" s="36"/>
    <row r="255" ht="15.75" customHeight="1" s="36"/>
    <row r="256" ht="15.75" customHeight="1" s="36"/>
    <row r="257" ht="15.75" customHeight="1" s="36"/>
    <row r="258" ht="15.75" customHeight="1" s="36"/>
    <row r="259" ht="15.75" customHeight="1" s="36"/>
    <row r="260" ht="15.75" customHeight="1" s="36"/>
    <row r="261" ht="15.75" customHeight="1" s="36"/>
    <row r="262" ht="15.75" customHeight="1" s="36"/>
    <row r="263" ht="15.75" customHeight="1" s="36"/>
    <row r="264" ht="15.75" customHeight="1" s="36"/>
    <row r="265" ht="15.75" customHeight="1" s="36"/>
    <row r="266" ht="15.75" customHeight="1" s="36"/>
    <row r="267" ht="15.75" customHeight="1" s="36"/>
    <row r="268" ht="15.75" customHeight="1" s="36"/>
    <row r="269" ht="15.75" customHeight="1" s="36"/>
    <row r="270" ht="15.75" customHeight="1" s="36"/>
    <row r="271" ht="15.75" customHeight="1" s="36"/>
    <row r="272" ht="15.75" customHeight="1" s="36"/>
    <row r="273" ht="15.75" customHeight="1" s="36"/>
    <row r="274" ht="15.75" customHeight="1" s="36"/>
    <row r="275" ht="15.75" customHeight="1" s="36"/>
    <row r="276" ht="15.75" customHeight="1" s="36"/>
    <row r="277" ht="15.75" customHeight="1" s="36"/>
    <row r="278" ht="15.75" customHeight="1" s="36"/>
    <row r="279" ht="15.75" customHeight="1" s="36"/>
    <row r="280" ht="15.75" customHeight="1" s="36"/>
    <row r="281" ht="15.75" customHeight="1" s="36"/>
    <row r="282" ht="15.75" customHeight="1" s="36"/>
    <row r="283" ht="15.75" customHeight="1" s="36"/>
    <row r="284" ht="15.75" customHeight="1" s="36"/>
    <row r="285" ht="15.75" customHeight="1" s="36"/>
    <row r="286" ht="15.75" customHeight="1" s="36"/>
    <row r="287" ht="15.75" customHeight="1" s="36"/>
    <row r="288" ht="15.75" customHeight="1" s="36"/>
    <row r="289" ht="15.75" customHeight="1" s="36"/>
    <row r="290" ht="15.75" customHeight="1" s="36"/>
    <row r="291" ht="15.75" customHeight="1" s="36"/>
    <row r="292" ht="15.75" customHeight="1" s="36"/>
    <row r="293" ht="15.75" customHeight="1" s="36"/>
    <row r="294" ht="15.75" customHeight="1" s="36"/>
    <row r="295" ht="15.75" customHeight="1" s="36"/>
    <row r="296" ht="15.75" customHeight="1" s="36"/>
    <row r="297" ht="15.75" customHeight="1" s="36"/>
    <row r="298" ht="15.75" customHeight="1" s="36"/>
    <row r="299" ht="15.75" customHeight="1" s="36"/>
    <row r="300" ht="15.75" customHeight="1" s="36"/>
    <row r="301" ht="15.75" customHeight="1" s="36"/>
    <row r="302" ht="15.75" customHeight="1" s="36"/>
    <row r="303" ht="15.75" customHeight="1" s="36"/>
    <row r="304" ht="15.75" customHeight="1" s="36"/>
    <row r="305" ht="15.75" customHeight="1" s="36"/>
    <row r="306" ht="15.75" customHeight="1" s="36"/>
    <row r="307" ht="15.75" customHeight="1" s="36"/>
    <row r="308" ht="15.75" customHeight="1" s="36"/>
    <row r="309" ht="15.75" customHeight="1" s="36"/>
    <row r="310" ht="15.75" customHeight="1" s="36"/>
    <row r="311" ht="15.75" customHeight="1" s="36"/>
    <row r="312" ht="15.75" customHeight="1" s="36"/>
    <row r="313" ht="15.75" customHeight="1" s="36"/>
    <row r="314" ht="15.75" customHeight="1" s="36"/>
    <row r="315" ht="15.75" customHeight="1" s="36"/>
    <row r="316" ht="15.75" customHeight="1" s="36"/>
    <row r="317" ht="15.75" customHeight="1" s="36"/>
    <row r="318" ht="15.75" customHeight="1" s="36"/>
    <row r="319" ht="15.75" customHeight="1" s="36"/>
    <row r="320" ht="15.75" customHeight="1" s="36"/>
    <row r="321" ht="15.75" customHeight="1" s="36"/>
    <row r="322" ht="15.75" customHeight="1" s="36"/>
    <row r="323" ht="15.75" customHeight="1" s="36"/>
    <row r="324" ht="15.75" customHeight="1" s="36"/>
    <row r="325" ht="15.75" customHeight="1" s="36"/>
    <row r="326" ht="15.75" customHeight="1" s="36"/>
    <row r="327" ht="15.75" customHeight="1" s="36"/>
    <row r="328" ht="15.75" customHeight="1" s="36"/>
    <row r="329" ht="15.75" customHeight="1" s="36"/>
    <row r="330" ht="15.75" customHeight="1" s="36"/>
    <row r="331" ht="15.75" customHeight="1" s="36"/>
    <row r="332" ht="15.75" customHeight="1" s="36"/>
    <row r="333" ht="15.75" customHeight="1" s="36"/>
    <row r="334" ht="15.75" customHeight="1" s="36"/>
    <row r="335" ht="15.75" customHeight="1" s="36"/>
    <row r="336" ht="15.75" customHeight="1" s="36"/>
    <row r="337" ht="15.75" customHeight="1" s="36"/>
    <row r="338" ht="15.75" customHeight="1" s="36"/>
    <row r="339" ht="15.75" customHeight="1" s="36"/>
    <row r="340" ht="15.75" customHeight="1" s="36"/>
    <row r="341" ht="15.75" customHeight="1" s="36"/>
    <row r="342" ht="15.75" customHeight="1" s="36"/>
    <row r="343" ht="15.75" customHeight="1" s="36"/>
    <row r="344" ht="15.75" customHeight="1" s="36"/>
    <row r="345" ht="15.75" customHeight="1" s="36"/>
    <row r="346" ht="15.75" customHeight="1" s="36"/>
    <row r="347" ht="15.75" customHeight="1" s="36"/>
    <row r="348" ht="15.75" customHeight="1" s="36"/>
    <row r="349" ht="15.75" customHeight="1" s="36"/>
    <row r="350" ht="15.75" customHeight="1" s="36"/>
    <row r="351" ht="15.75" customHeight="1" s="36"/>
    <row r="352" ht="15.75" customHeight="1" s="36"/>
    <row r="353" ht="15.75" customHeight="1" s="36"/>
    <row r="354" ht="15.75" customHeight="1" s="36"/>
    <row r="355" ht="15.75" customHeight="1" s="36"/>
    <row r="356" ht="15.75" customHeight="1" s="36"/>
    <row r="357" ht="15.75" customHeight="1" s="36"/>
    <row r="358" ht="15.75" customHeight="1" s="36"/>
    <row r="359" ht="15.75" customHeight="1" s="36"/>
    <row r="360" ht="15.75" customHeight="1" s="36"/>
    <row r="361" ht="15.75" customHeight="1" s="36"/>
    <row r="362" ht="15.75" customHeight="1" s="36"/>
    <row r="363" ht="15.75" customHeight="1" s="36"/>
    <row r="364" ht="15.75" customHeight="1" s="36"/>
    <row r="365" ht="15.75" customHeight="1" s="36"/>
    <row r="366" ht="15.75" customHeight="1" s="36"/>
    <row r="367" ht="15.75" customHeight="1" s="36"/>
    <row r="368" ht="15.75" customHeight="1" s="36"/>
    <row r="369" ht="15.75" customHeight="1" s="36"/>
    <row r="370" ht="15.75" customHeight="1" s="36"/>
    <row r="371" ht="15.75" customHeight="1" s="36"/>
    <row r="372" ht="15.75" customHeight="1" s="36"/>
    <row r="373" ht="15.75" customHeight="1" s="36"/>
    <row r="374" ht="15.75" customHeight="1" s="36"/>
    <row r="375" ht="15.75" customHeight="1" s="36"/>
    <row r="376" ht="15.75" customHeight="1" s="36"/>
    <row r="377" ht="15.75" customHeight="1" s="36"/>
    <row r="378" ht="15.75" customHeight="1" s="36"/>
    <row r="379" ht="15.75" customHeight="1" s="36"/>
    <row r="380" ht="15.75" customHeight="1" s="36"/>
    <row r="381" ht="15.75" customHeight="1" s="36"/>
    <row r="382" ht="15.75" customHeight="1" s="36"/>
    <row r="383" ht="15.75" customHeight="1" s="36"/>
    <row r="384" ht="15.75" customHeight="1" s="36"/>
    <row r="385" ht="15.75" customHeight="1" s="36"/>
    <row r="386" ht="15.75" customHeight="1" s="36"/>
    <row r="387" ht="15.75" customHeight="1" s="36"/>
    <row r="388" ht="15.75" customHeight="1" s="36"/>
    <row r="389" ht="15.75" customHeight="1" s="36"/>
    <row r="390" ht="15.75" customHeight="1" s="36"/>
    <row r="391" ht="15.75" customHeight="1" s="36"/>
    <row r="392" ht="15.75" customHeight="1" s="36"/>
    <row r="393" ht="15.75" customHeight="1" s="36"/>
    <row r="394" ht="15.75" customHeight="1" s="36"/>
    <row r="395" ht="15.75" customHeight="1" s="36"/>
    <row r="396" ht="15.75" customHeight="1" s="36"/>
    <row r="397" ht="15.75" customHeight="1" s="36"/>
    <row r="398" ht="15.75" customHeight="1" s="36"/>
    <row r="399" ht="15.75" customHeight="1" s="36"/>
    <row r="400" ht="15.75" customHeight="1" s="36"/>
    <row r="401" ht="15.75" customHeight="1" s="36"/>
    <row r="402" ht="15.75" customHeight="1" s="36"/>
    <row r="403" ht="15.75" customHeight="1" s="36"/>
    <row r="404" ht="15.75" customHeight="1" s="36"/>
    <row r="405" ht="15.75" customHeight="1" s="36"/>
    <row r="406" ht="15.75" customHeight="1" s="36"/>
    <row r="407" ht="15.75" customHeight="1" s="36"/>
    <row r="408" ht="15.75" customHeight="1" s="36"/>
    <row r="409" ht="15.75" customHeight="1" s="36"/>
    <row r="410" ht="15.75" customHeight="1" s="36"/>
    <row r="411" ht="15.75" customHeight="1" s="36"/>
    <row r="412" ht="15.75" customHeight="1" s="36"/>
    <row r="413" ht="15.75" customHeight="1" s="36"/>
    <row r="414" ht="15.75" customHeight="1" s="36"/>
    <row r="415" ht="15.75" customHeight="1" s="36"/>
    <row r="416" ht="15.75" customHeight="1" s="36"/>
    <row r="417" ht="15.75" customHeight="1" s="36"/>
    <row r="418" ht="15.75" customHeight="1" s="36"/>
    <row r="419" ht="15.75" customHeight="1" s="36"/>
    <row r="420" ht="15.75" customHeight="1" s="36"/>
    <row r="421" ht="15.75" customHeight="1" s="36"/>
    <row r="422" ht="15.75" customHeight="1" s="36"/>
    <row r="423" ht="15.75" customHeight="1" s="36"/>
    <row r="424" ht="15.75" customHeight="1" s="36"/>
    <row r="425" ht="15.75" customHeight="1" s="36"/>
    <row r="426" ht="15.75" customHeight="1" s="36"/>
    <row r="427" ht="15.75" customHeight="1" s="36"/>
    <row r="428" ht="15.75" customHeight="1" s="36"/>
    <row r="429" ht="15.75" customHeight="1" s="36"/>
    <row r="430" ht="15.75" customHeight="1" s="36"/>
    <row r="431" ht="15.75" customHeight="1" s="36"/>
    <row r="432" ht="15.75" customHeight="1" s="36"/>
    <row r="433" ht="15.75" customHeight="1" s="36"/>
    <row r="434" ht="15.75" customHeight="1" s="36"/>
    <row r="435" ht="15.75" customHeight="1" s="36"/>
    <row r="436" ht="15.75" customHeight="1" s="36"/>
    <row r="437" ht="15.75" customHeight="1" s="36"/>
    <row r="438" ht="15.75" customHeight="1" s="36"/>
    <row r="439" ht="15.75" customHeight="1" s="36"/>
    <row r="440" ht="15.75" customHeight="1" s="36"/>
    <row r="441" ht="15.75" customHeight="1" s="36"/>
    <row r="442" ht="15.75" customHeight="1" s="36"/>
    <row r="443" ht="15.75" customHeight="1" s="36"/>
    <row r="444" ht="15.75" customHeight="1" s="36"/>
    <row r="445" ht="15.75" customHeight="1" s="36"/>
    <row r="446" ht="15.75" customHeight="1" s="36"/>
    <row r="447" ht="15.75" customHeight="1" s="36"/>
    <row r="448" ht="15.75" customHeight="1" s="36"/>
    <row r="449" ht="15.75" customHeight="1" s="36"/>
    <row r="450" ht="15.75" customHeight="1" s="36"/>
    <row r="451" ht="15.75" customHeight="1" s="36"/>
    <row r="452" ht="15.75" customHeight="1" s="36"/>
    <row r="453" ht="15.75" customHeight="1" s="36"/>
    <row r="454" ht="15.75" customHeight="1" s="36"/>
    <row r="455" ht="15.75" customHeight="1" s="36"/>
    <row r="456" ht="15.75" customHeight="1" s="36"/>
    <row r="457" ht="15.75" customHeight="1" s="36"/>
    <row r="458" ht="15.75" customHeight="1" s="36"/>
    <row r="459" ht="15.75" customHeight="1" s="36"/>
    <row r="460" ht="15.75" customHeight="1" s="36"/>
    <row r="461" ht="15.75" customHeight="1" s="36"/>
    <row r="462" ht="15.75" customHeight="1" s="36"/>
    <row r="463" ht="15.75" customHeight="1" s="36"/>
    <row r="464" ht="15.75" customHeight="1" s="36"/>
    <row r="465" ht="15.75" customHeight="1" s="36"/>
    <row r="466" ht="15.75" customHeight="1" s="36"/>
    <row r="467" ht="15.75" customHeight="1" s="36"/>
    <row r="468" ht="15.75" customHeight="1" s="36"/>
    <row r="469" ht="15.75" customHeight="1" s="36"/>
    <row r="470" ht="15.75" customHeight="1" s="36"/>
    <row r="471" ht="15.75" customHeight="1" s="36"/>
    <row r="472" ht="15.75" customHeight="1" s="36"/>
    <row r="473" ht="15.75" customHeight="1" s="36"/>
    <row r="474" ht="15.75" customHeight="1" s="36"/>
    <row r="475" ht="15.75" customHeight="1" s="36"/>
    <row r="476" ht="15.75" customHeight="1" s="36"/>
    <row r="477" ht="15.75" customHeight="1" s="36"/>
    <row r="478" ht="15.75" customHeight="1" s="36"/>
    <row r="479" ht="15.75" customHeight="1" s="36"/>
    <row r="480" ht="15.75" customHeight="1" s="36"/>
    <row r="481" ht="15.75" customHeight="1" s="36"/>
    <row r="482" ht="15.75" customHeight="1" s="36"/>
    <row r="483" ht="15.75" customHeight="1" s="36"/>
    <row r="484" ht="15.75" customHeight="1" s="36"/>
    <row r="485" ht="15.75" customHeight="1" s="36"/>
    <row r="486" ht="15.75" customHeight="1" s="36"/>
    <row r="487" ht="15.75" customHeight="1" s="36"/>
    <row r="488" ht="15.75" customHeight="1" s="36"/>
    <row r="489" ht="15.75" customHeight="1" s="36"/>
    <row r="490" ht="15.75" customHeight="1" s="36"/>
    <row r="491" ht="15.75" customHeight="1" s="36"/>
    <row r="492" ht="15.75" customHeight="1" s="36"/>
    <row r="493" ht="15.75" customHeight="1" s="36"/>
    <row r="494" ht="15.75" customHeight="1" s="36"/>
    <row r="495" ht="15.75" customHeight="1" s="36"/>
    <row r="496" ht="15.75" customHeight="1" s="36"/>
    <row r="497" ht="15.75" customHeight="1" s="36"/>
    <row r="498" ht="15.75" customHeight="1" s="36"/>
    <row r="499" ht="15.75" customHeight="1" s="36"/>
    <row r="500" ht="15.75" customHeight="1" s="36"/>
    <row r="501" ht="15.75" customHeight="1" s="36"/>
    <row r="502" ht="15.75" customHeight="1" s="36"/>
    <row r="503" ht="15.75" customHeight="1" s="36"/>
    <row r="504" ht="15.75" customHeight="1" s="36"/>
    <row r="505" ht="15.75" customHeight="1" s="36"/>
    <row r="506" ht="15.75" customHeight="1" s="36"/>
    <row r="507" ht="15.75" customHeight="1" s="36"/>
    <row r="508" ht="15.75" customHeight="1" s="36"/>
    <row r="509" ht="15.75" customHeight="1" s="36"/>
    <row r="510" ht="15.75" customHeight="1" s="36"/>
    <row r="511" ht="15.75" customHeight="1" s="36"/>
    <row r="512" ht="15.75" customHeight="1" s="36"/>
    <row r="513" ht="15.75" customHeight="1" s="36"/>
    <row r="514" ht="15.75" customHeight="1" s="36"/>
    <row r="515" ht="15.75" customHeight="1" s="36"/>
    <row r="516" ht="15.75" customHeight="1" s="36"/>
    <row r="517" ht="15.75" customHeight="1" s="36"/>
    <row r="518" ht="15.75" customHeight="1" s="36"/>
    <row r="519" ht="15.75" customHeight="1" s="36"/>
    <row r="520" ht="15.75" customHeight="1" s="36"/>
    <row r="521" ht="15.75" customHeight="1" s="36"/>
    <row r="522" ht="15.75" customHeight="1" s="36"/>
    <row r="523" ht="15.75" customHeight="1" s="36"/>
    <row r="524" ht="15.75" customHeight="1" s="36"/>
    <row r="525" ht="15.75" customHeight="1" s="36"/>
    <row r="526" ht="15.75" customHeight="1" s="36"/>
    <row r="527" ht="15.75" customHeight="1" s="36"/>
    <row r="528" ht="15.75" customHeight="1" s="36"/>
    <row r="529" ht="15.75" customHeight="1" s="36"/>
    <row r="530" ht="15.75" customHeight="1" s="36"/>
    <row r="531" ht="15.75" customHeight="1" s="36"/>
    <row r="532" ht="15.75" customHeight="1" s="36"/>
    <row r="533" ht="15.75" customHeight="1" s="36"/>
    <row r="534" ht="15.75" customHeight="1" s="36"/>
    <row r="535" ht="15.75" customHeight="1" s="36"/>
    <row r="536" ht="15.75" customHeight="1" s="36"/>
    <row r="537" ht="15.75" customHeight="1" s="36"/>
    <row r="538" ht="15.75" customHeight="1" s="36"/>
    <row r="539" ht="15.75" customHeight="1" s="36"/>
    <row r="540" ht="15.75" customHeight="1" s="36"/>
    <row r="541" ht="15.75" customHeight="1" s="36"/>
    <row r="542" ht="15.75" customHeight="1" s="36"/>
    <row r="543" ht="15.75" customHeight="1" s="36"/>
    <row r="544" ht="15.75" customHeight="1" s="36"/>
    <row r="545" ht="15.75" customHeight="1" s="36"/>
    <row r="546" ht="15.75" customHeight="1" s="36"/>
    <row r="547" ht="15.75" customHeight="1" s="36"/>
    <row r="548" ht="15.75" customHeight="1" s="36"/>
    <row r="549" ht="15.75" customHeight="1" s="36"/>
    <row r="550" ht="15.75" customHeight="1" s="36"/>
    <row r="551" ht="15.75" customHeight="1" s="36"/>
    <row r="552" ht="15.75" customHeight="1" s="36"/>
    <row r="553" ht="15.75" customHeight="1" s="36"/>
    <row r="554" ht="15.75" customHeight="1" s="36"/>
    <row r="555" ht="15.75" customHeight="1" s="36"/>
    <row r="556" ht="15.75" customHeight="1" s="36"/>
    <row r="557" ht="15.75" customHeight="1" s="36"/>
    <row r="558" ht="15.75" customHeight="1" s="36"/>
    <row r="559" ht="15.75" customHeight="1" s="36"/>
    <row r="560" ht="15.75" customHeight="1" s="36"/>
    <row r="561" ht="15.75" customHeight="1" s="36"/>
    <row r="562" ht="15.75" customHeight="1" s="36"/>
    <row r="563" ht="15.75" customHeight="1" s="36"/>
    <row r="564" ht="15.75" customHeight="1" s="36"/>
    <row r="565" ht="15.75" customHeight="1" s="36"/>
    <row r="566" ht="15.75" customHeight="1" s="36"/>
    <row r="567" ht="15.75" customHeight="1" s="36"/>
    <row r="568" ht="15.75" customHeight="1" s="36"/>
    <row r="569" ht="15.75" customHeight="1" s="36"/>
    <row r="570" ht="15.75" customHeight="1" s="36"/>
    <row r="571" ht="15.75" customHeight="1" s="36"/>
    <row r="572" ht="15.75" customHeight="1" s="36"/>
    <row r="573" ht="15.75" customHeight="1" s="36"/>
    <row r="574" ht="15.75" customHeight="1" s="36"/>
    <row r="575" ht="15.75" customHeight="1" s="36"/>
    <row r="576" ht="15.75" customHeight="1" s="36"/>
    <row r="577" ht="15.75" customHeight="1" s="36"/>
    <row r="578" ht="15.75" customHeight="1" s="36"/>
    <row r="579" ht="15.75" customHeight="1" s="36"/>
    <row r="580" ht="15.75" customHeight="1" s="36"/>
    <row r="581" ht="15.75" customHeight="1" s="36"/>
    <row r="582" ht="15.75" customHeight="1" s="36"/>
    <row r="583" ht="15.75" customHeight="1" s="36"/>
    <row r="584" ht="15.75" customHeight="1" s="36"/>
    <row r="585" ht="15.75" customHeight="1" s="36"/>
    <row r="586" ht="15.75" customHeight="1" s="36"/>
    <row r="587" ht="15.75" customHeight="1" s="36"/>
    <row r="588" ht="15.75" customHeight="1" s="36"/>
    <row r="589" ht="15.75" customHeight="1" s="36"/>
    <row r="590" ht="15.75" customHeight="1" s="36"/>
    <row r="591" ht="15.75" customHeight="1" s="36"/>
    <row r="592" ht="15.75" customHeight="1" s="36"/>
    <row r="593" ht="15.75" customHeight="1" s="36"/>
    <row r="594" ht="15.75" customHeight="1" s="36"/>
    <row r="595" ht="15.75" customHeight="1" s="36"/>
    <row r="596" ht="15.75" customHeight="1" s="36"/>
    <row r="597" ht="15.75" customHeight="1" s="36"/>
    <row r="598" ht="15.75" customHeight="1" s="36"/>
    <row r="599" ht="15.75" customHeight="1" s="36"/>
    <row r="600" ht="15.75" customHeight="1" s="36"/>
    <row r="601" ht="15.75" customHeight="1" s="36"/>
    <row r="602" ht="15.75" customHeight="1" s="36"/>
    <row r="603" ht="15.75" customHeight="1" s="36"/>
    <row r="604" ht="15.75" customHeight="1" s="36"/>
    <row r="605" ht="15.75" customHeight="1" s="36"/>
    <row r="606" ht="15.75" customHeight="1" s="36"/>
    <row r="607" ht="15.75" customHeight="1" s="36"/>
    <row r="608" ht="15.75" customHeight="1" s="36"/>
    <row r="609" ht="15.75" customHeight="1" s="36"/>
    <row r="610" ht="15.75" customHeight="1" s="36"/>
    <row r="611" ht="15.75" customHeight="1" s="36"/>
    <row r="612" ht="15.75" customHeight="1" s="36"/>
    <row r="613" ht="15.75" customHeight="1" s="36"/>
    <row r="614" ht="15.75" customHeight="1" s="36"/>
    <row r="615" ht="15.75" customHeight="1" s="36"/>
    <row r="616" ht="15.75" customHeight="1" s="36"/>
    <row r="617" ht="15.75" customHeight="1" s="36"/>
    <row r="618" ht="15.75" customHeight="1" s="36"/>
    <row r="619" ht="15.75" customHeight="1" s="36"/>
    <row r="620" ht="15.75" customHeight="1" s="36"/>
    <row r="621" ht="15.75" customHeight="1" s="36"/>
    <row r="622" ht="15.75" customHeight="1" s="36"/>
    <row r="623" ht="15.75" customHeight="1" s="36"/>
    <row r="624" ht="15.75" customHeight="1" s="36"/>
    <row r="625" ht="15.75" customHeight="1" s="36"/>
    <row r="626" ht="15.75" customHeight="1" s="36"/>
    <row r="627" ht="15.75" customHeight="1" s="36"/>
    <row r="628" ht="15.75" customHeight="1" s="36"/>
    <row r="629" ht="15.75" customHeight="1" s="36"/>
    <row r="630" ht="15.75" customHeight="1" s="36"/>
    <row r="631" ht="15.75" customHeight="1" s="36"/>
    <row r="632" ht="15.75" customHeight="1" s="36"/>
    <row r="633" ht="15.75" customHeight="1" s="36"/>
    <row r="634" ht="15.75" customHeight="1" s="36"/>
    <row r="635" ht="15.75" customHeight="1" s="36"/>
    <row r="636" ht="15.75" customHeight="1" s="36"/>
    <row r="637" ht="15.75" customHeight="1" s="36"/>
    <row r="638" ht="15.75" customHeight="1" s="36"/>
    <row r="639" ht="15.75" customHeight="1" s="36"/>
    <row r="640" ht="15.75" customHeight="1" s="36"/>
    <row r="641" ht="15.75" customHeight="1" s="36"/>
    <row r="642" ht="15.75" customHeight="1" s="36"/>
    <row r="643" ht="15.75" customHeight="1" s="36"/>
    <row r="644" ht="15.75" customHeight="1" s="36"/>
    <row r="645" ht="15.75" customHeight="1" s="36"/>
    <row r="646" ht="15.75" customHeight="1" s="36"/>
    <row r="647" ht="15.75" customHeight="1" s="36"/>
    <row r="648" ht="15.75" customHeight="1" s="36"/>
    <row r="649" ht="15.75" customHeight="1" s="36"/>
    <row r="650" ht="15.75" customHeight="1" s="36"/>
    <row r="651" ht="15.75" customHeight="1" s="36"/>
    <row r="652" ht="15.75" customHeight="1" s="36"/>
    <row r="653" ht="15.75" customHeight="1" s="36"/>
    <row r="654" ht="15.75" customHeight="1" s="36"/>
    <row r="655" ht="15.75" customHeight="1" s="36"/>
    <row r="656" ht="15.75" customHeight="1" s="36"/>
    <row r="657" ht="15.75" customHeight="1" s="36"/>
    <row r="658" ht="15.75" customHeight="1" s="36"/>
    <row r="659" ht="15.75" customHeight="1" s="36"/>
    <row r="660" ht="15.75" customHeight="1" s="36"/>
    <row r="661" ht="15.75" customHeight="1" s="36"/>
    <row r="662" ht="15.75" customHeight="1" s="36"/>
    <row r="663" ht="15.75" customHeight="1" s="36"/>
    <row r="664" ht="15.75" customHeight="1" s="36"/>
    <row r="665" ht="15.75" customHeight="1" s="36"/>
    <row r="666" ht="15.75" customHeight="1" s="36"/>
    <row r="667" ht="15.75" customHeight="1" s="36"/>
    <row r="668" ht="15.75" customHeight="1" s="36"/>
    <row r="669" ht="15.75" customHeight="1" s="36"/>
    <row r="670" ht="15.75" customHeight="1" s="36"/>
    <row r="671" ht="15.75" customHeight="1" s="36"/>
    <row r="672" ht="15.75" customHeight="1" s="36"/>
    <row r="673" ht="15.75" customHeight="1" s="36"/>
    <row r="674" ht="15.75" customHeight="1" s="36"/>
    <row r="675" ht="15.75" customHeight="1" s="36"/>
    <row r="676" ht="15.75" customHeight="1" s="36"/>
    <row r="677" ht="15.75" customHeight="1" s="36"/>
    <row r="678" ht="15.75" customHeight="1" s="36"/>
    <row r="679" ht="15.75" customHeight="1" s="36"/>
    <row r="680" ht="15.75" customHeight="1" s="36"/>
    <row r="681" ht="15.75" customHeight="1" s="36"/>
    <row r="682" ht="15.75" customHeight="1" s="36"/>
    <row r="683" ht="15.75" customHeight="1" s="36"/>
    <row r="684" ht="15.75" customHeight="1" s="36"/>
    <row r="685" ht="15.75" customHeight="1" s="36"/>
    <row r="686" ht="15.75" customHeight="1" s="36"/>
    <row r="687" ht="15.75" customHeight="1" s="36"/>
    <row r="688" ht="15.75" customHeight="1" s="36"/>
    <row r="689" ht="15.75" customHeight="1" s="36"/>
    <row r="690" ht="15.75" customHeight="1" s="36"/>
    <row r="691" ht="15.75" customHeight="1" s="36"/>
    <row r="692" ht="15.75" customHeight="1" s="36"/>
    <row r="693" ht="15.75" customHeight="1" s="36"/>
    <row r="694" ht="15.75" customHeight="1" s="36"/>
    <row r="695" ht="15.75" customHeight="1" s="36"/>
    <row r="696" ht="15.75" customHeight="1" s="36"/>
    <row r="697" ht="15.75" customHeight="1" s="36"/>
    <row r="698" ht="15.75" customHeight="1" s="36"/>
    <row r="699" ht="15.75" customHeight="1" s="36"/>
    <row r="700" ht="15.75" customHeight="1" s="36"/>
    <row r="701" ht="15.75" customHeight="1" s="36"/>
    <row r="702" ht="15.75" customHeight="1" s="36"/>
    <row r="703" ht="15.75" customHeight="1" s="36"/>
    <row r="704" ht="15.75" customHeight="1" s="36"/>
    <row r="705" ht="15.75" customHeight="1" s="36"/>
    <row r="706" ht="15.75" customHeight="1" s="36"/>
    <row r="707" ht="15.75" customHeight="1" s="36"/>
    <row r="708" ht="15.75" customHeight="1" s="36"/>
    <row r="709" ht="15.75" customHeight="1" s="36"/>
    <row r="710" ht="15.75" customHeight="1" s="36"/>
    <row r="711" ht="15.75" customHeight="1" s="36"/>
    <row r="712" ht="15.75" customHeight="1" s="36"/>
    <row r="713" ht="15.75" customHeight="1" s="36"/>
    <row r="714" ht="15.75" customHeight="1" s="36"/>
    <row r="715" ht="15.75" customHeight="1" s="36"/>
    <row r="716" ht="15.75" customHeight="1" s="36"/>
    <row r="717" ht="15.75" customHeight="1" s="36"/>
    <row r="718" ht="15.75" customHeight="1" s="36"/>
    <row r="719" ht="15.75" customHeight="1" s="36"/>
    <row r="720" ht="15.75" customHeight="1" s="36"/>
    <row r="721" ht="15.75" customHeight="1" s="36"/>
    <row r="722" ht="15.75" customHeight="1" s="36"/>
    <row r="723" ht="15.75" customHeight="1" s="36"/>
    <row r="724" ht="15.75" customHeight="1" s="36"/>
    <row r="725" ht="15.75" customHeight="1" s="36"/>
    <row r="726" ht="15.75" customHeight="1" s="36"/>
    <row r="727" ht="15.75" customHeight="1" s="36"/>
    <row r="728" ht="15.75" customHeight="1" s="36"/>
    <row r="729" ht="15.75" customHeight="1" s="36"/>
    <row r="730" ht="15.75" customHeight="1" s="36"/>
    <row r="731" ht="15.75" customHeight="1" s="36"/>
    <row r="732" ht="15.75" customHeight="1" s="36"/>
    <row r="733" ht="15.75" customHeight="1" s="36"/>
    <row r="734" ht="15.75" customHeight="1" s="36"/>
    <row r="735" ht="15.75" customHeight="1" s="36"/>
    <row r="736" ht="15.75" customHeight="1" s="36"/>
    <row r="737" ht="15.75" customHeight="1" s="36"/>
    <row r="738" ht="15.75" customHeight="1" s="36"/>
    <row r="739" ht="15.75" customHeight="1" s="36"/>
    <row r="740" ht="15.75" customHeight="1" s="36"/>
    <row r="741" ht="15.75" customHeight="1" s="36"/>
    <row r="742" ht="15.75" customHeight="1" s="36"/>
    <row r="743" ht="15.75" customHeight="1" s="36"/>
    <row r="744" ht="15.75" customHeight="1" s="36"/>
    <row r="745" ht="15.75" customHeight="1" s="36"/>
    <row r="746" ht="15.75" customHeight="1" s="36"/>
    <row r="747" ht="15.75" customHeight="1" s="36"/>
    <row r="748" ht="15.75" customHeight="1" s="36"/>
    <row r="749" ht="15.75" customHeight="1" s="36"/>
    <row r="750" ht="15.75" customHeight="1" s="36"/>
    <row r="751" ht="15.75" customHeight="1" s="36"/>
    <row r="752" ht="15.75" customHeight="1" s="36"/>
    <row r="753" ht="15.75" customHeight="1" s="36"/>
    <row r="754" ht="15.75" customHeight="1" s="36"/>
    <row r="755" ht="15.75" customHeight="1" s="36"/>
    <row r="756" ht="15.75" customHeight="1" s="36"/>
    <row r="757" ht="15.75" customHeight="1" s="36"/>
    <row r="758" ht="15.75" customHeight="1" s="36"/>
    <row r="759" ht="15.75" customHeight="1" s="36"/>
    <row r="760" ht="15.75" customHeight="1" s="36"/>
    <row r="761" ht="15.75" customHeight="1" s="36"/>
    <row r="762" ht="15.75" customHeight="1" s="36"/>
    <row r="763" ht="15.75" customHeight="1" s="36"/>
    <row r="764" ht="15.75" customHeight="1" s="36"/>
    <row r="765" ht="15.75" customHeight="1" s="36"/>
    <row r="766" ht="15.75" customHeight="1" s="36"/>
    <row r="767" ht="15.75" customHeight="1" s="36"/>
    <row r="768" ht="15.75" customHeight="1" s="36"/>
    <row r="769" ht="15.75" customHeight="1" s="36"/>
    <row r="770" ht="15.75" customHeight="1" s="36"/>
    <row r="771" ht="15.75" customHeight="1" s="36"/>
    <row r="772" ht="15.75" customHeight="1" s="36"/>
    <row r="773" ht="15.75" customHeight="1" s="36"/>
    <row r="774" ht="15.75" customHeight="1" s="36"/>
    <row r="775" ht="15.75" customHeight="1" s="36"/>
    <row r="776" ht="15.75" customHeight="1" s="36"/>
    <row r="777" ht="15.75" customHeight="1" s="36"/>
    <row r="778" ht="15.75" customHeight="1" s="36"/>
    <row r="779" ht="15.75" customHeight="1" s="36"/>
    <row r="780" ht="15.75" customHeight="1" s="36"/>
    <row r="781" ht="15.75" customHeight="1" s="36"/>
    <row r="782" ht="15.75" customHeight="1" s="36"/>
    <row r="783" ht="15.75" customHeight="1" s="36"/>
    <row r="784" ht="15.75" customHeight="1" s="36"/>
    <row r="785" ht="15.75" customHeight="1" s="36"/>
    <row r="786" ht="15.75" customHeight="1" s="36"/>
    <row r="787" ht="15.75" customHeight="1" s="36"/>
    <row r="788" ht="15.75" customHeight="1" s="36"/>
    <row r="789" ht="15.75" customHeight="1" s="36"/>
    <row r="790" ht="15.75" customHeight="1" s="36"/>
    <row r="791" ht="15.75" customHeight="1" s="36"/>
    <row r="792" ht="15.75" customHeight="1" s="36"/>
    <row r="793" ht="15.75" customHeight="1" s="36"/>
    <row r="794" ht="15.75" customHeight="1" s="36"/>
    <row r="795" ht="15.75" customHeight="1" s="36"/>
    <row r="796" ht="15.75" customHeight="1" s="36"/>
    <row r="797" ht="15.75" customHeight="1" s="36"/>
    <row r="798" ht="15.75" customHeight="1" s="36"/>
    <row r="799" ht="15.75" customHeight="1" s="36"/>
    <row r="800" ht="15.75" customHeight="1" s="36"/>
    <row r="801" ht="15.75" customHeight="1" s="36"/>
    <row r="802" ht="15.75" customHeight="1" s="36"/>
    <row r="803" ht="15.75" customHeight="1" s="36"/>
    <row r="804" ht="15.75" customHeight="1" s="36"/>
    <row r="805" ht="15.75" customHeight="1" s="36"/>
    <row r="806" ht="15.75" customHeight="1" s="36"/>
    <row r="807" ht="15.75" customHeight="1" s="36"/>
    <row r="808" ht="15.75" customHeight="1" s="36"/>
    <row r="809" ht="15.75" customHeight="1" s="36"/>
    <row r="810" ht="15.75" customHeight="1" s="36"/>
    <row r="811" ht="15.75" customHeight="1" s="36"/>
    <row r="812" ht="15.75" customHeight="1" s="36"/>
    <row r="813" ht="15.75" customHeight="1" s="36"/>
    <row r="814" ht="15.75" customHeight="1" s="36"/>
    <row r="815" ht="15.75" customHeight="1" s="36"/>
    <row r="816" ht="15.75" customHeight="1" s="36"/>
    <row r="817" ht="15.75" customHeight="1" s="36"/>
    <row r="818" ht="15.75" customHeight="1" s="36"/>
    <row r="819" ht="15.75" customHeight="1" s="36"/>
    <row r="820" ht="15.75" customHeight="1" s="36"/>
    <row r="821" ht="15.75" customHeight="1" s="36"/>
    <row r="822" ht="15.75" customHeight="1" s="36"/>
    <row r="823" ht="15.75" customHeight="1" s="36"/>
    <row r="824" ht="15.75" customHeight="1" s="36"/>
    <row r="825" ht="15.75" customHeight="1" s="36"/>
    <row r="826" ht="15.75" customHeight="1" s="36"/>
    <row r="827" ht="15.75" customHeight="1" s="36"/>
    <row r="828" ht="15.75" customHeight="1" s="36"/>
    <row r="829" ht="15.75" customHeight="1" s="36"/>
    <row r="830" ht="15.75" customHeight="1" s="36"/>
    <row r="831" ht="15.75" customHeight="1" s="36"/>
    <row r="832" ht="15.75" customHeight="1" s="36"/>
    <row r="833" ht="15.75" customHeight="1" s="36"/>
    <row r="834" ht="15.75" customHeight="1" s="36"/>
    <row r="835" ht="15.75" customHeight="1" s="36"/>
    <row r="836" ht="15.75" customHeight="1" s="36"/>
    <row r="837" ht="15.75" customHeight="1" s="36"/>
    <row r="838" ht="15.75" customHeight="1" s="36"/>
    <row r="839" ht="15.75" customHeight="1" s="36"/>
    <row r="840" ht="15.75" customHeight="1" s="36"/>
    <row r="841" ht="15.75" customHeight="1" s="36"/>
    <row r="842" ht="15.75" customHeight="1" s="36"/>
    <row r="843" ht="15.75" customHeight="1" s="36"/>
    <row r="844" ht="15.75" customHeight="1" s="36"/>
    <row r="845" ht="15.75" customHeight="1" s="36"/>
    <row r="846" ht="15.75" customHeight="1" s="36"/>
    <row r="847" ht="15.75" customHeight="1" s="36"/>
    <row r="848" ht="15.75" customHeight="1" s="36"/>
    <row r="849" ht="15.75" customHeight="1" s="36"/>
    <row r="850" ht="15.75" customHeight="1" s="36"/>
    <row r="851" ht="15.75" customHeight="1" s="36"/>
    <row r="852" ht="15.75" customHeight="1" s="36"/>
    <row r="853" ht="15.75" customHeight="1" s="36"/>
    <row r="854" ht="15.75" customHeight="1" s="36"/>
    <row r="855" ht="15.75" customHeight="1" s="36"/>
    <row r="856" ht="15.75" customHeight="1" s="36"/>
    <row r="857" ht="15.75" customHeight="1" s="36"/>
    <row r="858" ht="15.75" customHeight="1" s="36"/>
    <row r="859" ht="15.75" customHeight="1" s="36"/>
    <row r="860" ht="15.75" customHeight="1" s="36"/>
    <row r="861" ht="15.75" customHeight="1" s="36"/>
    <row r="862" ht="15.75" customHeight="1" s="36"/>
    <row r="863" ht="15.75" customHeight="1" s="36"/>
    <row r="864" ht="15.75" customHeight="1" s="36"/>
    <row r="865" ht="15.75" customHeight="1" s="36"/>
    <row r="866" ht="15.75" customHeight="1" s="36"/>
    <row r="867" ht="15.75" customHeight="1" s="36"/>
    <row r="868" ht="15.75" customHeight="1" s="36"/>
    <row r="869" ht="15.75" customHeight="1" s="36"/>
    <row r="870" ht="15.75" customHeight="1" s="36"/>
    <row r="871" ht="15.75" customHeight="1" s="36"/>
    <row r="872" ht="15.75" customHeight="1" s="36"/>
    <row r="873" ht="15.75" customHeight="1" s="36"/>
    <row r="874" ht="15.75" customHeight="1" s="36"/>
    <row r="875" ht="15.75" customHeight="1" s="36"/>
    <row r="876" ht="15.75" customHeight="1" s="36"/>
    <row r="877" ht="15.75" customHeight="1" s="36"/>
    <row r="878" ht="15.75" customHeight="1" s="36"/>
    <row r="879" ht="15.75" customHeight="1" s="36"/>
    <row r="880" ht="15.75" customHeight="1" s="36"/>
    <row r="881" ht="15.75" customHeight="1" s="36"/>
    <row r="882" ht="15.75" customHeight="1" s="36"/>
    <row r="883" ht="15.75" customHeight="1" s="36"/>
    <row r="884" ht="15.75" customHeight="1" s="36"/>
    <row r="885" ht="15.75" customHeight="1" s="36"/>
    <row r="886" ht="15.75" customHeight="1" s="36"/>
    <row r="887" ht="15.75" customHeight="1" s="36"/>
    <row r="888" ht="15.75" customHeight="1" s="36"/>
    <row r="889" ht="15.75" customHeight="1" s="36"/>
    <row r="890" ht="15.75" customHeight="1" s="36"/>
    <row r="891" ht="15.75" customHeight="1" s="36"/>
    <row r="892" ht="15.75" customHeight="1" s="36"/>
    <row r="893" ht="15.75" customHeight="1" s="36"/>
    <row r="894" ht="15.75" customHeight="1" s="36"/>
    <row r="895" ht="15.75" customHeight="1" s="36"/>
    <row r="896" ht="15.75" customHeight="1" s="36"/>
    <row r="897" ht="15.75" customHeight="1" s="36"/>
    <row r="898" ht="15.75" customHeight="1" s="36"/>
    <row r="899" ht="15.75" customHeight="1" s="36"/>
    <row r="900" ht="15.75" customHeight="1" s="36"/>
    <row r="901" ht="15.75" customHeight="1" s="36"/>
    <row r="902" ht="15.75" customHeight="1" s="36"/>
    <row r="903" ht="15.75" customHeight="1" s="36"/>
    <row r="904" ht="15.75" customHeight="1" s="36"/>
    <row r="905" ht="15.75" customHeight="1" s="36"/>
    <row r="906" ht="15.75" customHeight="1" s="36"/>
    <row r="907" ht="15.75" customHeight="1" s="36"/>
    <row r="908" ht="15.75" customHeight="1" s="36"/>
    <row r="909" ht="15.75" customHeight="1" s="36"/>
    <row r="910" ht="15.75" customHeight="1" s="36"/>
    <row r="911" ht="15.75" customHeight="1" s="36"/>
    <row r="912" ht="15.75" customHeight="1" s="36"/>
    <row r="913" ht="15.75" customHeight="1" s="36"/>
    <row r="914" ht="15.75" customHeight="1" s="36"/>
    <row r="915" ht="15.75" customHeight="1" s="36"/>
    <row r="916" ht="15.75" customHeight="1" s="36"/>
    <row r="917" ht="15.75" customHeight="1" s="36"/>
    <row r="918" ht="15.75" customHeight="1" s="36"/>
    <row r="919" ht="15.75" customHeight="1" s="36"/>
    <row r="920" ht="15.75" customHeight="1" s="36"/>
    <row r="921" ht="15.75" customHeight="1" s="36"/>
    <row r="922" ht="15.75" customHeight="1" s="36"/>
    <row r="923" ht="15.75" customHeight="1" s="36"/>
    <row r="924" ht="15.75" customHeight="1" s="36"/>
    <row r="925" ht="15.75" customHeight="1" s="36"/>
    <row r="926" ht="15.75" customHeight="1" s="36"/>
    <row r="927" ht="15.75" customHeight="1" s="36"/>
    <row r="928" ht="15.75" customHeight="1" s="36"/>
    <row r="929" ht="15.75" customHeight="1" s="36"/>
    <row r="930" ht="15.75" customHeight="1" s="36"/>
    <row r="931" ht="15.75" customHeight="1" s="36"/>
    <row r="932" ht="15.75" customHeight="1" s="36"/>
    <row r="933" ht="15.75" customHeight="1" s="36"/>
    <row r="934" ht="15.75" customHeight="1" s="36"/>
    <row r="935" ht="15.75" customHeight="1" s="36"/>
    <row r="936" ht="15.75" customHeight="1" s="36"/>
    <row r="937" ht="15.75" customHeight="1" s="36"/>
    <row r="938" ht="15.75" customHeight="1" s="36"/>
    <row r="939" ht="15.75" customHeight="1" s="36"/>
    <row r="940" ht="15.75" customHeight="1" s="36"/>
    <row r="941" ht="15.75" customHeight="1" s="36"/>
    <row r="942" ht="15.75" customHeight="1" s="36"/>
    <row r="943" ht="15.75" customHeight="1" s="36"/>
    <row r="944" ht="15.75" customHeight="1" s="36"/>
    <row r="945" ht="15.75" customHeight="1" s="36"/>
    <row r="946" ht="15.75" customHeight="1" s="36"/>
    <row r="947" ht="15.75" customHeight="1" s="36"/>
    <row r="948" ht="15.75" customHeight="1" s="36"/>
    <row r="949" ht="15.75" customHeight="1" s="36"/>
    <row r="950" ht="15.75" customHeight="1" s="36"/>
    <row r="951" ht="15.75" customHeight="1" s="36"/>
    <row r="952" ht="15.75" customHeight="1" s="36"/>
    <row r="953" ht="15.75" customHeight="1" s="36"/>
    <row r="954" ht="15.75" customHeight="1" s="36"/>
    <row r="955" ht="15.75" customHeight="1" s="36"/>
    <row r="956" ht="15.75" customHeight="1" s="36"/>
    <row r="957" ht="15.75" customHeight="1" s="36"/>
    <row r="958" ht="15.75" customHeight="1" s="36"/>
    <row r="959" ht="15.75" customHeight="1" s="36"/>
    <row r="960" ht="15.75" customHeight="1" s="36"/>
    <row r="961" ht="15.75" customHeight="1" s="36"/>
    <row r="962" ht="15.75" customHeight="1" s="36"/>
    <row r="963" ht="15.75" customHeight="1" s="36"/>
    <row r="964" ht="15.75" customHeight="1" s="36"/>
    <row r="965" ht="15.75" customHeight="1" s="36"/>
    <row r="966" ht="15.75" customHeight="1" s="36"/>
    <row r="967" ht="15.75" customHeight="1" s="36"/>
    <row r="968" ht="15.75" customHeight="1" s="36"/>
    <row r="969" ht="15.75" customHeight="1" s="36"/>
    <row r="970" ht="15.75" customHeight="1" s="36"/>
    <row r="971" ht="15.75" customHeight="1" s="36"/>
    <row r="972" ht="15.75" customHeight="1" s="36"/>
    <row r="973" ht="15.75" customHeight="1" s="36"/>
    <row r="974" ht="15.75" customHeight="1" s="36"/>
    <row r="975" ht="15.75" customHeight="1" s="36"/>
    <row r="976" ht="15.75" customHeight="1" s="36"/>
    <row r="977" ht="15.75" customHeight="1" s="36"/>
    <row r="978" ht="15.75" customHeight="1" s="36"/>
    <row r="979" ht="15.75" customHeight="1" s="36"/>
    <row r="980" ht="15.75" customHeight="1" s="36"/>
    <row r="981" ht="15.75" customHeight="1" s="36"/>
    <row r="982" ht="15.75" customHeight="1" s="36"/>
    <row r="983" ht="15.75" customHeight="1" s="36"/>
    <row r="984" ht="15.75" customHeight="1" s="36"/>
    <row r="985" ht="15.75" customHeight="1" s="36"/>
    <row r="986" ht="15.75" customHeight="1" s="36"/>
    <row r="987" ht="15.75" customHeight="1" s="36"/>
    <row r="988" ht="15.75" customHeight="1" s="36"/>
    <row r="989" ht="15.75" customHeight="1" s="36"/>
    <row r="990" ht="15.75" customHeight="1" s="36"/>
    <row r="991" ht="15.75" customHeight="1" s="36"/>
    <row r="992" ht="15.75" customHeight="1" s="36"/>
    <row r="993" ht="15.75" customHeight="1" s="36"/>
    <row r="994" ht="15.75" customHeight="1" s="36"/>
    <row r="995" ht="15.75" customHeight="1" s="36"/>
    <row r="996" ht="15.75" customHeight="1" s="36"/>
    <row r="997" ht="15.75" customHeight="1" s="36"/>
    <row r="998" ht="15.75" customHeight="1" s="36"/>
    <row r="999" ht="15.75" customHeight="1" s="36"/>
    <row r="1000" ht="15.75" customHeight="1" s="36"/>
  </sheetData>
  <mergeCells count="2">
    <mergeCell ref="A1:J1"/>
    <mergeCell ref="A2:J2"/>
  </mergeCells>
  <conditionalFormatting sqref="F5:F400">
    <cfRule type="expression" priority="1" dxfId="0">
      <formula>F5="Done"</formula>
    </cfRule>
    <cfRule type="expression" priority="2" dxfId="1">
      <formula>F5="Blocked"</formula>
    </cfRule>
    <cfRule type="expression" priority="3" dxfId="2">
      <formula>F5="In Progress"</formula>
    </cfRule>
    <cfRule type="expression" priority="4" dxfId="3">
      <formula>F5="In Review"</formula>
    </cfRule>
  </conditionalFormatting>
  <dataValidations count="4">
    <dataValidation sqref="E5:E400" showDropDown="0" showInputMessage="0" showErrorMessage="0" allowBlank="1" type="list">
      <formula1>"Malindu,Raveena,Dewmini,Sujan,Raveena + Dewmini,All members"</formula1>
    </dataValidation>
    <dataValidation sqref="F5:F400" showDropDown="0" showInputMessage="0" showErrorMessage="0" allowBlank="1" type="list">
      <formula1>"Not Started,In Progress,Blocked,In Review,Done"</formula1>
    </dataValidation>
    <dataValidation sqref="G5:G400" showDropDown="0" showInputMessage="0" showErrorMessage="0" allowBlank="1" type="list">
      <formula1>"Week 1,Week 2,Week 3,Weeks 1–2,Weeks 2–3,Ongoing,If finalist"</formula1>
    </dataValidation>
    <dataValidation sqref="L5:L400" showDropDown="0" showInputMessage="0" showErrorMessage="0" allowBlank="1" type="list">
      <formula1>"Critical,High,Medium,Low"</formula1>
    </dataValidation>
  </dataValidations>
  <pageMargins left="0.7" right="0.7" top="0.75" bottom="0.75" header="0" footer="0"/>
  <pageSetup orientation="landscape"/>
</worksheet>
</file>

<file path=xl/worksheets/sheet4.xml><?xml version="1.0" encoding="utf-8"?>
<worksheet xmlns="http://schemas.openxmlformats.org/spreadsheetml/2006/main">
  <sheetPr>
    <outlinePr summaryBelow="1" summaryRight="1"/>
    <pageSetUpPr/>
  </sheetPr>
  <dimension ref="A1:H13"/>
  <sheetViews>
    <sheetView workbookViewId="0">
      <pane ySplit="4" topLeftCell="A5" activePane="bottomLeft" state="frozen"/>
      <selection pane="bottomLeft" activeCell="B6" sqref="B6"/>
    </sheetView>
  </sheetViews>
  <sheetFormatPr baseColWidth="8" defaultColWidth="12.63" defaultRowHeight="15" customHeight="1"/>
  <cols>
    <col width="21" customWidth="1" style="36" min="1" max="1"/>
    <col width="31" customWidth="1" style="36" min="2" max="2"/>
    <col width="43" customWidth="1" style="36" min="3" max="3"/>
    <col width="67" customWidth="1" style="36" min="4" max="4"/>
    <col width="36" customWidth="1" style="36" min="5" max="5"/>
    <col width="21" customWidth="1" style="36" min="6" max="6"/>
    <col width="8.630000000000001" customWidth="1" style="36" min="7" max="26"/>
  </cols>
  <sheetData>
    <row r="1" ht="45" customHeight="1" s="36">
      <c r="A1" s="1" t="inlineStr">
        <is>
          <t>QUANTEDGE 1.0 — THREE-WEEK PLAN</t>
        </is>
      </c>
    </row>
    <row r="2" ht="28.5" customHeight="1" s="36">
      <c r="A2" s="5" t="inlineStr">
        <is>
          <t>Illustrative relative-week plan; set real dates only after confirming the submission deadline.</t>
        </is>
      </c>
    </row>
    <row r="4" ht="30.75" customHeight="1" s="36">
      <c r="A4" s="27" t="inlineStr">
        <is>
          <t>Phase</t>
        </is>
      </c>
      <c r="B4" s="27" t="inlineStr">
        <is>
          <t>Focus</t>
        </is>
      </c>
      <c r="C4" s="27" t="inlineStr">
        <is>
          <t>Task groups</t>
        </is>
      </c>
      <c r="D4" s="27" t="inlineStr">
        <is>
          <t>Definition of completion</t>
        </is>
      </c>
      <c r="E4" s="27" t="inlineStr">
        <is>
          <t>Suggested participants</t>
        </is>
      </c>
    </row>
    <row r="5" ht="87" customHeight="1" s="36">
      <c r="A5" s="7" t="inlineStr">
        <is>
          <t>Week 1</t>
        </is>
      </c>
      <c r="B5" s="7" t="inlineStr">
        <is>
          <t>Research &amp; foundations</t>
        </is>
      </c>
      <c r="C5" s="7" t="inlineStr">
        <is>
          <t>T1, T2, T3; begin T4</t>
        </is>
      </c>
      <c r="D5" s="7" t="inlineStr">
        <is>
          <t>Agree mandate, repository, clean prices, shared interface</t>
        </is>
      </c>
      <c r="E5" s="7" t="inlineStr">
        <is>
          <t>Malindu + Raveena + Dewmini</t>
        </is>
      </c>
    </row>
    <row r="6" ht="87" customHeight="1" s="36">
      <c r="A6" s="7" t="inlineStr">
        <is>
          <t>Week 2</t>
        </is>
      </c>
      <c r="B6" s="7" t="inlineStr">
        <is>
          <t>Portfolio and risk build</t>
        </is>
      </c>
      <c r="C6" s="7" t="inlineStr">
        <is>
          <t>T4–T9; begin T10, T11, T14</t>
        </is>
      </c>
      <c r="D6" s="7" t="inlineStr">
        <is>
          <t>Three candidate portfolios, KPI and baseline VaR/ES/EVT/GARCH</t>
        </is>
      </c>
      <c r="E6" s="7" t="inlineStr">
        <is>
          <t>Dewmini + Raveena + Sujan + Malindu</t>
        </is>
      </c>
    </row>
    <row r="7" ht="87" customHeight="1" s="36">
      <c r="A7" s="7" t="inlineStr">
        <is>
          <t>Week 2</t>
        </is>
      </c>
      <c r="B7" s="7" t="inlineStr">
        <is>
          <t>Testing, integration &amp; decisions</t>
        </is>
      </c>
      <c r="C7" s="7" t="inlineStr">
        <is>
          <t>Complete T10–T18; optional T12–T13</t>
        </is>
      </c>
      <c r="D7" s="7" t="inlineStr">
        <is>
          <t>Backtesting, stress tests, app, documents, reproducibility and AI log</t>
        </is>
      </c>
      <c r="E7" s="7" t="inlineStr">
        <is>
          <t>All members</t>
        </is>
      </c>
    </row>
    <row r="8" ht="87" customHeight="1" s="36">
      <c r="A8" s="7" t="inlineStr">
        <is>
          <t>Ongoing</t>
        </is>
      </c>
      <c r="B8" s="7" t="inlineStr">
        <is>
          <t>Quality reviews</t>
        </is>
      </c>
      <c r="C8" s="7" t="inlineStr">
        <is>
          <t>T18 and integration checks</t>
        </is>
      </c>
      <c r="D8" s="7" t="inlineStr">
        <is>
          <t>Human review of AI work, data leakage and reproducibility</t>
        </is>
      </c>
      <c r="E8" s="7" t="inlineStr">
        <is>
          <t>All members (Malindu coordinates)</t>
        </is>
      </c>
    </row>
    <row r="9" ht="87" customHeight="1" s="36">
      <c r="A9" s="7" t="inlineStr">
        <is>
          <t>Only if finalist</t>
        </is>
      </c>
      <c r="B9" s="7" t="inlineStr">
        <is>
          <t>Pitch and Q&amp;A</t>
        </is>
      </c>
      <c r="C9" s="7" t="inlineStr">
        <is>
          <t>T19</t>
        </is>
      </c>
      <c r="D9" s="7" t="inlineStr">
        <is>
          <t>10–12 minute deck and mock judge questions</t>
        </is>
      </c>
      <c r="E9" s="7" t="inlineStr">
        <is>
          <t>All members</t>
        </is>
      </c>
    </row>
    <row r="12" ht="30" customHeight="1" s="36">
      <c r="A12" s="10" t="inlineStr">
        <is>
          <t>SCHEDULING GUIDELINE</t>
        </is>
      </c>
    </row>
    <row r="13" ht="54" customHeight="1" s="36">
      <c r="A13" s="11" t="inlineStr">
        <is>
          <t>When your team agrees on the real submission date, enter actual Due Dates in Main Tasks and Subtasks. Google Calendar is best for meetings, demos and major deadline reminders—not all individual subtasks.</t>
        </is>
      </c>
    </row>
    <row r="21" ht="15.75" customHeight="1" s="36"/>
    <row r="22" ht="15.75" customHeight="1" s="36"/>
    <row r="23" ht="15.75" customHeight="1" s="36"/>
    <row r="24" ht="15.75" customHeight="1" s="36"/>
    <row r="25" ht="15.75" customHeight="1" s="36"/>
    <row r="26" ht="15.75" customHeight="1" s="36"/>
    <row r="27" ht="15.75" customHeight="1" s="36"/>
    <row r="28" ht="15.75" customHeight="1" s="36"/>
    <row r="29" ht="15.75" customHeight="1" s="36"/>
    <row r="30" ht="15.75" customHeight="1" s="36"/>
    <row r="31" ht="15.75" customHeight="1" s="36"/>
    <row r="32" ht="15.75" customHeight="1" s="36"/>
    <row r="33" ht="15.75" customHeight="1" s="36"/>
    <row r="34" ht="15.75" customHeight="1" s="36"/>
    <row r="35" ht="15.75" customHeight="1" s="36"/>
    <row r="36" ht="15.75" customHeight="1" s="36"/>
    <row r="37" ht="15.75" customHeight="1" s="36"/>
    <row r="38" ht="15.75" customHeight="1" s="36"/>
    <row r="39" ht="15.75" customHeight="1" s="36"/>
    <row r="40" ht="15.75" customHeight="1" s="36"/>
    <row r="41" ht="15.75" customHeight="1" s="36"/>
    <row r="42" ht="15.75" customHeight="1" s="36"/>
    <row r="43" ht="15.75" customHeight="1" s="36"/>
    <row r="44" ht="15.75" customHeight="1" s="36"/>
    <row r="45" ht="15.75" customHeight="1" s="36"/>
    <row r="46" ht="15.75" customHeight="1" s="36"/>
    <row r="47" ht="15.75" customHeight="1" s="36"/>
    <row r="48" ht="15.75" customHeight="1" s="36"/>
    <row r="49" ht="15.75" customHeight="1" s="36"/>
    <row r="50" ht="15.75" customHeight="1" s="36"/>
    <row r="51" ht="15.75" customHeight="1" s="36"/>
    <row r="52" ht="15.75" customHeight="1" s="36"/>
    <row r="53" ht="15.75" customHeight="1" s="36"/>
    <row r="54" ht="15.75" customHeight="1" s="36"/>
    <row r="55" ht="15.75" customHeight="1" s="36"/>
    <row r="56" ht="15.75" customHeight="1" s="36"/>
    <row r="57" ht="15.75" customHeight="1" s="36"/>
    <row r="58" ht="15.75" customHeight="1" s="36"/>
    <row r="59" ht="15.75" customHeight="1" s="36"/>
    <row r="60" ht="15.75" customHeight="1" s="36"/>
    <row r="61" ht="15.75" customHeight="1" s="36"/>
    <row r="62" ht="15.75" customHeight="1" s="36"/>
    <row r="63" ht="15.75" customHeight="1" s="36"/>
    <row r="64" ht="15.75" customHeight="1" s="36"/>
    <row r="65" ht="15.75" customHeight="1" s="36"/>
    <row r="66" ht="15.75" customHeight="1" s="36"/>
    <row r="67" ht="15.75" customHeight="1" s="36"/>
    <row r="68" ht="15.75" customHeight="1" s="36"/>
    <row r="69" ht="15.75" customHeight="1" s="36"/>
    <row r="70" ht="15.75" customHeight="1" s="36"/>
    <row r="71" ht="15.75" customHeight="1" s="36"/>
    <row r="72" ht="15.75" customHeight="1" s="36"/>
    <row r="73" ht="15.75" customHeight="1" s="36"/>
    <row r="74" ht="15.75" customHeight="1" s="36"/>
    <row r="75" ht="15.75" customHeight="1" s="36"/>
    <row r="76" ht="15.75" customHeight="1" s="36"/>
    <row r="77" ht="15.75" customHeight="1" s="36"/>
    <row r="78" ht="15.75" customHeight="1" s="36"/>
    <row r="79" ht="15.75" customHeight="1" s="36"/>
    <row r="80" ht="15.75" customHeight="1" s="36"/>
    <row r="81" ht="15.75" customHeight="1" s="36"/>
    <row r="82" ht="15.75" customHeight="1" s="36"/>
    <row r="83" ht="15.75" customHeight="1" s="36"/>
    <row r="84" ht="15.75" customHeight="1" s="36"/>
    <row r="85" ht="15.75" customHeight="1" s="36"/>
    <row r="86" ht="15.75" customHeight="1" s="36"/>
    <row r="87" ht="15.75" customHeight="1" s="36"/>
    <row r="88" ht="15.75" customHeight="1" s="36"/>
    <row r="89" ht="15.75" customHeight="1" s="36"/>
    <row r="90" ht="15.75" customHeight="1" s="36"/>
    <row r="91" ht="15.75" customHeight="1" s="36"/>
    <row r="92" ht="15.75" customHeight="1" s="36"/>
    <row r="93" ht="15.75" customHeight="1" s="36"/>
    <row r="94" ht="15.75" customHeight="1" s="36"/>
    <row r="95" ht="15.75" customHeight="1" s="36"/>
    <row r="96" ht="15.75" customHeight="1" s="36"/>
    <row r="97" ht="15.75" customHeight="1" s="36"/>
    <row r="98" ht="15.75" customHeight="1" s="36"/>
    <row r="99" ht="15.75" customHeight="1" s="36"/>
    <row r="100" ht="15.75" customHeight="1" s="36"/>
    <row r="101" ht="15.75" customHeight="1" s="36"/>
    <row r="102" ht="15.75" customHeight="1" s="36"/>
    <row r="103" ht="15.75" customHeight="1" s="36"/>
    <row r="104" ht="15.75" customHeight="1" s="36"/>
    <row r="105" ht="15.75" customHeight="1" s="36"/>
    <row r="106" ht="15.75" customHeight="1" s="36"/>
    <row r="107" ht="15.75" customHeight="1" s="36"/>
    <row r="108" ht="15.75" customHeight="1" s="36"/>
    <row r="109" ht="15.75" customHeight="1" s="36"/>
    <row r="110" ht="15.75" customHeight="1" s="36"/>
    <row r="111" ht="15.75" customHeight="1" s="36"/>
    <row r="112" ht="15.75" customHeight="1" s="36"/>
    <row r="113" ht="15.75" customHeight="1" s="36"/>
    <row r="114" ht="15.75" customHeight="1" s="36"/>
    <row r="115" ht="15.75" customHeight="1" s="36"/>
    <row r="116" ht="15.75" customHeight="1" s="36"/>
    <row r="117" ht="15.75" customHeight="1" s="36"/>
    <row r="118" ht="15.75" customHeight="1" s="36"/>
    <row r="119" ht="15.75" customHeight="1" s="36"/>
    <row r="120" ht="15.75" customHeight="1" s="36"/>
    <row r="121" ht="15.75" customHeight="1" s="36"/>
    <row r="122" ht="15.75" customHeight="1" s="36"/>
    <row r="123" ht="15.75" customHeight="1" s="36"/>
    <row r="124" ht="15.75" customHeight="1" s="36"/>
    <row r="125" ht="15.75" customHeight="1" s="36"/>
    <row r="126" ht="15.75" customHeight="1" s="36"/>
    <row r="127" ht="15.75" customHeight="1" s="36"/>
    <row r="128" ht="15.75" customHeight="1" s="36"/>
    <row r="129" ht="15.75" customHeight="1" s="36"/>
    <row r="130" ht="15.75" customHeight="1" s="36"/>
    <row r="131" ht="15.75" customHeight="1" s="36"/>
    <row r="132" ht="15.75" customHeight="1" s="36"/>
    <row r="133" ht="15.75" customHeight="1" s="36"/>
    <row r="134" ht="15.75" customHeight="1" s="36"/>
    <row r="135" ht="15.75" customHeight="1" s="36"/>
    <row r="136" ht="15.75" customHeight="1" s="36"/>
    <row r="137" ht="15.75" customHeight="1" s="36"/>
    <row r="138" ht="15.75" customHeight="1" s="36"/>
    <row r="139" ht="15.75" customHeight="1" s="36"/>
    <row r="140" ht="15.75" customHeight="1" s="36"/>
    <row r="141" ht="15.75" customHeight="1" s="36"/>
    <row r="142" ht="15.75" customHeight="1" s="36"/>
    <row r="143" ht="15.75" customHeight="1" s="36"/>
    <row r="144" ht="15.75" customHeight="1" s="36"/>
    <row r="145" ht="15.75" customHeight="1" s="36"/>
    <row r="146" ht="15.75" customHeight="1" s="36"/>
    <row r="147" ht="15.75" customHeight="1" s="36"/>
    <row r="148" ht="15.75" customHeight="1" s="36"/>
    <row r="149" ht="15.75" customHeight="1" s="36"/>
    <row r="150" ht="15.75" customHeight="1" s="36"/>
    <row r="151" ht="15.75" customHeight="1" s="36"/>
    <row r="152" ht="15.75" customHeight="1" s="36"/>
    <row r="153" ht="15.75" customHeight="1" s="36"/>
    <row r="154" ht="15.75" customHeight="1" s="36"/>
    <row r="155" ht="15.75" customHeight="1" s="36"/>
    <row r="156" ht="15.75" customHeight="1" s="36"/>
    <row r="157" ht="15.75" customHeight="1" s="36"/>
    <row r="158" ht="15.75" customHeight="1" s="36"/>
    <row r="159" ht="15.75" customHeight="1" s="36"/>
    <row r="160" ht="15.75" customHeight="1" s="36"/>
    <row r="161" ht="15.75" customHeight="1" s="36"/>
    <row r="162" ht="15.75" customHeight="1" s="36"/>
    <row r="163" ht="15.75" customHeight="1" s="36"/>
    <row r="164" ht="15.75" customHeight="1" s="36"/>
    <row r="165" ht="15.75" customHeight="1" s="36"/>
    <row r="166" ht="15.75" customHeight="1" s="36"/>
    <row r="167" ht="15.75" customHeight="1" s="36"/>
    <row r="168" ht="15.75" customHeight="1" s="36"/>
    <row r="169" ht="15.75" customHeight="1" s="36"/>
    <row r="170" ht="15.75" customHeight="1" s="36"/>
    <row r="171" ht="15.75" customHeight="1" s="36"/>
    <row r="172" ht="15.75" customHeight="1" s="36"/>
    <row r="173" ht="15.75" customHeight="1" s="36"/>
    <row r="174" ht="15.75" customHeight="1" s="36"/>
    <row r="175" ht="15.75" customHeight="1" s="36"/>
    <row r="176" ht="15.75" customHeight="1" s="36"/>
    <row r="177" ht="15.75" customHeight="1" s="36"/>
    <row r="178" ht="15.75" customHeight="1" s="36"/>
    <row r="179" ht="15.75" customHeight="1" s="36"/>
    <row r="180" ht="15.75" customHeight="1" s="36"/>
    <row r="181" ht="15.75" customHeight="1" s="36"/>
    <row r="182" ht="15.75" customHeight="1" s="36"/>
    <row r="183" ht="15.75" customHeight="1" s="36"/>
    <row r="184" ht="15.75" customHeight="1" s="36"/>
    <row r="185" ht="15.75" customHeight="1" s="36"/>
    <row r="186" ht="15.75" customHeight="1" s="36"/>
    <row r="187" ht="15.75" customHeight="1" s="36"/>
    <row r="188" ht="15.75" customHeight="1" s="36"/>
    <row r="189" ht="15.75" customHeight="1" s="36"/>
    <row r="190" ht="15.75" customHeight="1" s="36"/>
    <row r="191" ht="15.75" customHeight="1" s="36"/>
    <row r="192" ht="15.75" customHeight="1" s="36"/>
    <row r="193" ht="15.75" customHeight="1" s="36"/>
    <row r="194" ht="15.75" customHeight="1" s="36"/>
    <row r="195" ht="15.75" customHeight="1" s="36"/>
    <row r="196" ht="15.75" customHeight="1" s="36"/>
    <row r="197" ht="15.75" customHeight="1" s="36"/>
    <row r="198" ht="15.75" customHeight="1" s="36"/>
    <row r="199" ht="15.75" customHeight="1" s="36"/>
    <row r="200" ht="15.75" customHeight="1" s="36"/>
    <row r="201" ht="15.75" customHeight="1" s="36"/>
    <row r="202" ht="15.75" customHeight="1" s="36"/>
    <row r="203" ht="15.75" customHeight="1" s="36"/>
    <row r="204" ht="15.75" customHeight="1" s="36"/>
    <row r="205" ht="15.75" customHeight="1" s="36"/>
    <row r="206" ht="15.75" customHeight="1" s="36"/>
    <row r="207" ht="15.75" customHeight="1" s="36"/>
    <row r="208" ht="15.75" customHeight="1" s="36"/>
    <row r="209" ht="15.75" customHeight="1" s="36"/>
    <row r="210" ht="15.75" customHeight="1" s="36"/>
    <row r="211" ht="15.75" customHeight="1" s="36"/>
    <row r="212" ht="15.75" customHeight="1" s="36"/>
    <row r="213" ht="15.75" customHeight="1" s="36"/>
    <row r="214" ht="15.75" customHeight="1" s="36"/>
    <row r="215" ht="15.75" customHeight="1" s="36"/>
    <row r="216" ht="15.75" customHeight="1" s="36"/>
    <row r="217" ht="15.75" customHeight="1" s="36"/>
    <row r="218" ht="15.75" customHeight="1" s="36"/>
    <row r="219" ht="15.75" customHeight="1" s="36"/>
    <row r="220" ht="15.75" customHeight="1" s="36"/>
    <row r="221" ht="15.75" customHeight="1" s="36"/>
    <row r="222" ht="15.75" customHeight="1" s="36"/>
    <row r="223" ht="15.75" customHeight="1" s="36"/>
    <row r="224" ht="15.75" customHeight="1" s="36"/>
    <row r="225" ht="15.75" customHeight="1" s="36"/>
    <row r="226" ht="15.75" customHeight="1" s="36"/>
    <row r="227" ht="15.75" customHeight="1" s="36"/>
    <row r="228" ht="15.75" customHeight="1" s="36"/>
    <row r="229" ht="15.75" customHeight="1" s="36"/>
    <row r="230" ht="15.75" customHeight="1" s="36"/>
    <row r="231" ht="15.75" customHeight="1" s="36"/>
    <row r="232" ht="15.75" customHeight="1" s="36"/>
    <row r="233" ht="15.75" customHeight="1" s="36"/>
    <row r="234" ht="15.75" customHeight="1" s="36"/>
    <row r="235" ht="15.75" customHeight="1" s="36"/>
    <row r="236" ht="15.75" customHeight="1" s="36"/>
    <row r="237" ht="15.75" customHeight="1" s="36"/>
    <row r="238" ht="15.75" customHeight="1" s="36"/>
    <row r="239" ht="15.75" customHeight="1" s="36"/>
    <row r="240" ht="15.75" customHeight="1" s="36"/>
    <row r="241" ht="15.75" customHeight="1" s="36"/>
    <row r="242" ht="15.75" customHeight="1" s="36"/>
    <row r="243" ht="15.75" customHeight="1" s="36"/>
    <row r="244" ht="15.75" customHeight="1" s="36"/>
    <row r="245" ht="15.75" customHeight="1" s="36"/>
    <row r="246" ht="15.75" customHeight="1" s="36"/>
    <row r="247" ht="15.75" customHeight="1" s="36"/>
    <row r="248" ht="15.75" customHeight="1" s="36"/>
    <row r="249" ht="15.75" customHeight="1" s="36"/>
    <row r="250" ht="15.75" customHeight="1" s="36"/>
    <row r="251" ht="15.75" customHeight="1" s="36"/>
    <row r="252" ht="15.75" customHeight="1" s="36"/>
    <row r="253" ht="15.75" customHeight="1" s="36"/>
    <row r="254" ht="15.75" customHeight="1" s="36"/>
    <row r="255" ht="15.75" customHeight="1" s="36"/>
    <row r="256" ht="15.75" customHeight="1" s="36"/>
    <row r="257" ht="15.75" customHeight="1" s="36"/>
    <row r="258" ht="15.75" customHeight="1" s="36"/>
    <row r="259" ht="15.75" customHeight="1" s="36"/>
    <row r="260" ht="15.75" customHeight="1" s="36"/>
    <row r="261" ht="15.75" customHeight="1" s="36"/>
    <row r="262" ht="15.75" customHeight="1" s="36"/>
    <row r="263" ht="15.75" customHeight="1" s="36"/>
    <row r="264" ht="15.75" customHeight="1" s="36"/>
    <row r="265" ht="15.75" customHeight="1" s="36"/>
    <row r="266" ht="15.75" customHeight="1" s="36"/>
    <row r="267" ht="15.75" customHeight="1" s="36"/>
    <row r="268" ht="15.75" customHeight="1" s="36"/>
    <row r="269" ht="15.75" customHeight="1" s="36"/>
    <row r="270" ht="15.75" customHeight="1" s="36"/>
    <row r="271" ht="15.75" customHeight="1" s="36"/>
    <row r="272" ht="15.75" customHeight="1" s="36"/>
    <row r="273" ht="15.75" customHeight="1" s="36"/>
    <row r="274" ht="15.75" customHeight="1" s="36"/>
    <row r="275" ht="15.75" customHeight="1" s="36"/>
    <row r="276" ht="15.75" customHeight="1" s="36"/>
    <row r="277" ht="15.75" customHeight="1" s="36"/>
    <row r="278" ht="15.75" customHeight="1" s="36"/>
    <row r="279" ht="15.75" customHeight="1" s="36"/>
    <row r="280" ht="15.75" customHeight="1" s="36"/>
    <row r="281" ht="15.75" customHeight="1" s="36"/>
    <row r="282" ht="15.75" customHeight="1" s="36"/>
    <row r="283" ht="15.75" customHeight="1" s="36"/>
    <row r="284" ht="15.75" customHeight="1" s="36"/>
    <row r="285" ht="15.75" customHeight="1" s="36"/>
    <row r="286" ht="15.75" customHeight="1" s="36"/>
    <row r="287" ht="15.75" customHeight="1" s="36"/>
    <row r="288" ht="15.75" customHeight="1" s="36"/>
    <row r="289" ht="15.75" customHeight="1" s="36"/>
    <row r="290" ht="15.75" customHeight="1" s="36"/>
    <row r="291" ht="15.75" customHeight="1" s="36"/>
    <row r="292" ht="15.75" customHeight="1" s="36"/>
    <row r="293" ht="15.75" customHeight="1" s="36"/>
    <row r="294" ht="15.75" customHeight="1" s="36"/>
    <row r="295" ht="15.75" customHeight="1" s="36"/>
    <row r="296" ht="15.75" customHeight="1" s="36"/>
    <row r="297" ht="15.75" customHeight="1" s="36"/>
    <row r="298" ht="15.75" customHeight="1" s="36"/>
    <row r="299" ht="15.75" customHeight="1" s="36"/>
    <row r="300" ht="15.75" customHeight="1" s="36"/>
    <row r="301" ht="15.75" customHeight="1" s="36"/>
    <row r="302" ht="15.75" customHeight="1" s="36"/>
    <row r="303" ht="15.75" customHeight="1" s="36"/>
    <row r="304" ht="15.75" customHeight="1" s="36"/>
    <row r="305" ht="15.75" customHeight="1" s="36"/>
    <row r="306" ht="15.75" customHeight="1" s="36"/>
    <row r="307" ht="15.75" customHeight="1" s="36"/>
    <row r="308" ht="15.75" customHeight="1" s="36"/>
    <row r="309" ht="15.75" customHeight="1" s="36"/>
    <row r="310" ht="15.75" customHeight="1" s="36"/>
    <row r="311" ht="15.75" customHeight="1" s="36"/>
    <row r="312" ht="15.75" customHeight="1" s="36"/>
    <row r="313" ht="15.75" customHeight="1" s="36"/>
    <row r="314" ht="15.75" customHeight="1" s="36"/>
    <row r="315" ht="15.75" customHeight="1" s="36"/>
    <row r="316" ht="15.75" customHeight="1" s="36"/>
    <row r="317" ht="15.75" customHeight="1" s="36"/>
    <row r="318" ht="15.75" customHeight="1" s="36"/>
    <row r="319" ht="15.75" customHeight="1" s="36"/>
    <row r="320" ht="15.75" customHeight="1" s="36"/>
    <row r="321" ht="15.75" customHeight="1" s="36"/>
    <row r="322" ht="15.75" customHeight="1" s="36"/>
    <row r="323" ht="15.75" customHeight="1" s="36"/>
    <row r="324" ht="15.75" customHeight="1" s="36"/>
    <row r="325" ht="15.75" customHeight="1" s="36"/>
    <row r="326" ht="15.75" customHeight="1" s="36"/>
    <row r="327" ht="15.75" customHeight="1" s="36"/>
    <row r="328" ht="15.75" customHeight="1" s="36"/>
    <row r="329" ht="15.75" customHeight="1" s="36"/>
    <row r="330" ht="15.75" customHeight="1" s="36"/>
    <row r="331" ht="15.75" customHeight="1" s="36"/>
    <row r="332" ht="15.75" customHeight="1" s="36"/>
    <row r="333" ht="15.75" customHeight="1" s="36"/>
    <row r="334" ht="15.75" customHeight="1" s="36"/>
    <row r="335" ht="15.75" customHeight="1" s="36"/>
    <row r="336" ht="15.75" customHeight="1" s="36"/>
    <row r="337" ht="15.75" customHeight="1" s="36"/>
    <row r="338" ht="15.75" customHeight="1" s="36"/>
    <row r="339" ht="15.75" customHeight="1" s="36"/>
    <row r="340" ht="15.75" customHeight="1" s="36"/>
    <row r="341" ht="15.75" customHeight="1" s="36"/>
    <row r="342" ht="15.75" customHeight="1" s="36"/>
    <row r="343" ht="15.75" customHeight="1" s="36"/>
    <row r="344" ht="15.75" customHeight="1" s="36"/>
    <row r="345" ht="15.75" customHeight="1" s="36"/>
    <row r="346" ht="15.75" customHeight="1" s="36"/>
    <row r="347" ht="15.75" customHeight="1" s="36"/>
    <row r="348" ht="15.75" customHeight="1" s="36"/>
    <row r="349" ht="15.75" customHeight="1" s="36"/>
    <row r="350" ht="15.75" customHeight="1" s="36"/>
    <row r="351" ht="15.75" customHeight="1" s="36"/>
    <row r="352" ht="15.75" customHeight="1" s="36"/>
    <row r="353" ht="15.75" customHeight="1" s="36"/>
    <row r="354" ht="15.75" customHeight="1" s="36"/>
    <row r="355" ht="15.75" customHeight="1" s="36"/>
    <row r="356" ht="15.75" customHeight="1" s="36"/>
    <row r="357" ht="15.75" customHeight="1" s="36"/>
    <row r="358" ht="15.75" customHeight="1" s="36"/>
    <row r="359" ht="15.75" customHeight="1" s="36"/>
    <row r="360" ht="15.75" customHeight="1" s="36"/>
    <row r="361" ht="15.75" customHeight="1" s="36"/>
    <row r="362" ht="15.75" customHeight="1" s="36"/>
    <row r="363" ht="15.75" customHeight="1" s="36"/>
    <row r="364" ht="15.75" customHeight="1" s="36"/>
    <row r="365" ht="15.75" customHeight="1" s="36"/>
    <row r="366" ht="15.75" customHeight="1" s="36"/>
    <row r="367" ht="15.75" customHeight="1" s="36"/>
    <row r="368" ht="15.75" customHeight="1" s="36"/>
    <row r="369" ht="15.75" customHeight="1" s="36"/>
    <row r="370" ht="15.75" customHeight="1" s="36"/>
    <row r="371" ht="15.75" customHeight="1" s="36"/>
    <row r="372" ht="15.75" customHeight="1" s="36"/>
    <row r="373" ht="15.75" customHeight="1" s="36"/>
    <row r="374" ht="15.75" customHeight="1" s="36"/>
    <row r="375" ht="15.75" customHeight="1" s="36"/>
    <row r="376" ht="15.75" customHeight="1" s="36"/>
    <row r="377" ht="15.75" customHeight="1" s="36"/>
    <row r="378" ht="15.75" customHeight="1" s="36"/>
    <row r="379" ht="15.75" customHeight="1" s="36"/>
    <row r="380" ht="15.75" customHeight="1" s="36"/>
    <row r="381" ht="15.75" customHeight="1" s="36"/>
    <row r="382" ht="15.75" customHeight="1" s="36"/>
    <row r="383" ht="15.75" customHeight="1" s="36"/>
    <row r="384" ht="15.75" customHeight="1" s="36"/>
    <row r="385" ht="15.75" customHeight="1" s="36"/>
    <row r="386" ht="15.75" customHeight="1" s="36"/>
    <row r="387" ht="15.75" customHeight="1" s="36"/>
    <row r="388" ht="15.75" customHeight="1" s="36"/>
    <row r="389" ht="15.75" customHeight="1" s="36"/>
    <row r="390" ht="15.75" customHeight="1" s="36"/>
    <row r="391" ht="15.75" customHeight="1" s="36"/>
    <row r="392" ht="15.75" customHeight="1" s="36"/>
    <row r="393" ht="15.75" customHeight="1" s="36"/>
    <row r="394" ht="15.75" customHeight="1" s="36"/>
    <row r="395" ht="15.75" customHeight="1" s="36"/>
    <row r="396" ht="15.75" customHeight="1" s="36"/>
    <row r="397" ht="15.75" customHeight="1" s="36"/>
    <row r="398" ht="15.75" customHeight="1" s="36"/>
    <row r="399" ht="15.75" customHeight="1" s="36"/>
    <row r="400" ht="15.75" customHeight="1" s="36"/>
    <row r="401" ht="15.75" customHeight="1" s="36"/>
    <row r="402" ht="15.75" customHeight="1" s="36"/>
    <row r="403" ht="15.75" customHeight="1" s="36"/>
    <row r="404" ht="15.75" customHeight="1" s="36"/>
    <row r="405" ht="15.75" customHeight="1" s="36"/>
    <row r="406" ht="15.75" customHeight="1" s="36"/>
    <row r="407" ht="15.75" customHeight="1" s="36"/>
    <row r="408" ht="15.75" customHeight="1" s="36"/>
    <row r="409" ht="15.75" customHeight="1" s="36"/>
    <row r="410" ht="15.75" customHeight="1" s="36"/>
    <row r="411" ht="15.75" customHeight="1" s="36"/>
    <row r="412" ht="15.75" customHeight="1" s="36"/>
    <row r="413" ht="15.75" customHeight="1" s="36"/>
    <row r="414" ht="15.75" customHeight="1" s="36"/>
    <row r="415" ht="15.75" customHeight="1" s="36"/>
    <row r="416" ht="15.75" customHeight="1" s="36"/>
    <row r="417" ht="15.75" customHeight="1" s="36"/>
    <row r="418" ht="15.75" customHeight="1" s="36"/>
    <row r="419" ht="15.75" customHeight="1" s="36"/>
    <row r="420" ht="15.75" customHeight="1" s="36"/>
    <row r="421" ht="15.75" customHeight="1" s="36"/>
    <row r="422" ht="15.75" customHeight="1" s="36"/>
    <row r="423" ht="15.75" customHeight="1" s="36"/>
    <row r="424" ht="15.75" customHeight="1" s="36"/>
    <row r="425" ht="15.75" customHeight="1" s="36"/>
    <row r="426" ht="15.75" customHeight="1" s="36"/>
    <row r="427" ht="15.75" customHeight="1" s="36"/>
    <row r="428" ht="15.75" customHeight="1" s="36"/>
    <row r="429" ht="15.75" customHeight="1" s="36"/>
    <row r="430" ht="15.75" customHeight="1" s="36"/>
    <row r="431" ht="15.75" customHeight="1" s="36"/>
    <row r="432" ht="15.75" customHeight="1" s="36"/>
    <row r="433" ht="15.75" customHeight="1" s="36"/>
    <row r="434" ht="15.75" customHeight="1" s="36"/>
    <row r="435" ht="15.75" customHeight="1" s="36"/>
    <row r="436" ht="15.75" customHeight="1" s="36"/>
    <row r="437" ht="15.75" customHeight="1" s="36"/>
    <row r="438" ht="15.75" customHeight="1" s="36"/>
    <row r="439" ht="15.75" customHeight="1" s="36"/>
    <row r="440" ht="15.75" customHeight="1" s="36"/>
    <row r="441" ht="15.75" customHeight="1" s="36"/>
    <row r="442" ht="15.75" customHeight="1" s="36"/>
    <row r="443" ht="15.75" customHeight="1" s="36"/>
    <row r="444" ht="15.75" customHeight="1" s="36"/>
    <row r="445" ht="15.75" customHeight="1" s="36"/>
    <row r="446" ht="15.75" customHeight="1" s="36"/>
    <row r="447" ht="15.75" customHeight="1" s="36"/>
    <row r="448" ht="15.75" customHeight="1" s="36"/>
    <row r="449" ht="15.75" customHeight="1" s="36"/>
    <row r="450" ht="15.75" customHeight="1" s="36"/>
    <row r="451" ht="15.75" customHeight="1" s="36"/>
    <row r="452" ht="15.75" customHeight="1" s="36"/>
    <row r="453" ht="15.75" customHeight="1" s="36"/>
    <row r="454" ht="15.75" customHeight="1" s="36"/>
    <row r="455" ht="15.75" customHeight="1" s="36"/>
    <row r="456" ht="15.75" customHeight="1" s="36"/>
    <row r="457" ht="15.75" customHeight="1" s="36"/>
    <row r="458" ht="15.75" customHeight="1" s="36"/>
    <row r="459" ht="15.75" customHeight="1" s="36"/>
    <row r="460" ht="15.75" customHeight="1" s="36"/>
    <row r="461" ht="15.75" customHeight="1" s="36"/>
    <row r="462" ht="15.75" customHeight="1" s="36"/>
    <row r="463" ht="15.75" customHeight="1" s="36"/>
    <row r="464" ht="15.75" customHeight="1" s="36"/>
    <row r="465" ht="15.75" customHeight="1" s="36"/>
    <row r="466" ht="15.75" customHeight="1" s="36"/>
    <row r="467" ht="15.75" customHeight="1" s="36"/>
    <row r="468" ht="15.75" customHeight="1" s="36"/>
    <row r="469" ht="15.75" customHeight="1" s="36"/>
    <row r="470" ht="15.75" customHeight="1" s="36"/>
    <row r="471" ht="15.75" customHeight="1" s="36"/>
    <row r="472" ht="15.75" customHeight="1" s="36"/>
    <row r="473" ht="15.75" customHeight="1" s="36"/>
    <row r="474" ht="15.75" customHeight="1" s="36"/>
    <row r="475" ht="15.75" customHeight="1" s="36"/>
    <row r="476" ht="15.75" customHeight="1" s="36"/>
    <row r="477" ht="15.75" customHeight="1" s="36"/>
    <row r="478" ht="15.75" customHeight="1" s="36"/>
    <row r="479" ht="15.75" customHeight="1" s="36"/>
    <row r="480" ht="15.75" customHeight="1" s="36"/>
    <row r="481" ht="15.75" customHeight="1" s="36"/>
    <row r="482" ht="15.75" customHeight="1" s="36"/>
    <row r="483" ht="15.75" customHeight="1" s="36"/>
    <row r="484" ht="15.75" customHeight="1" s="36"/>
    <row r="485" ht="15.75" customHeight="1" s="36"/>
    <row r="486" ht="15.75" customHeight="1" s="36"/>
    <row r="487" ht="15.75" customHeight="1" s="36"/>
    <row r="488" ht="15.75" customHeight="1" s="36"/>
    <row r="489" ht="15.75" customHeight="1" s="36"/>
    <row r="490" ht="15.75" customHeight="1" s="36"/>
    <row r="491" ht="15.75" customHeight="1" s="36"/>
    <row r="492" ht="15.75" customHeight="1" s="36"/>
    <row r="493" ht="15.75" customHeight="1" s="36"/>
    <row r="494" ht="15.75" customHeight="1" s="36"/>
    <row r="495" ht="15.75" customHeight="1" s="36"/>
    <row r="496" ht="15.75" customHeight="1" s="36"/>
    <row r="497" ht="15.75" customHeight="1" s="36"/>
    <row r="498" ht="15.75" customHeight="1" s="36"/>
    <row r="499" ht="15.75" customHeight="1" s="36"/>
    <row r="500" ht="15.75" customHeight="1" s="36"/>
    <row r="501" ht="15.75" customHeight="1" s="36"/>
    <row r="502" ht="15.75" customHeight="1" s="36"/>
    <row r="503" ht="15.75" customHeight="1" s="36"/>
    <row r="504" ht="15.75" customHeight="1" s="36"/>
    <row r="505" ht="15.75" customHeight="1" s="36"/>
    <row r="506" ht="15.75" customHeight="1" s="36"/>
    <row r="507" ht="15.75" customHeight="1" s="36"/>
    <row r="508" ht="15.75" customHeight="1" s="36"/>
    <row r="509" ht="15.75" customHeight="1" s="36"/>
    <row r="510" ht="15.75" customHeight="1" s="36"/>
    <row r="511" ht="15.75" customHeight="1" s="36"/>
    <row r="512" ht="15.75" customHeight="1" s="36"/>
    <row r="513" ht="15.75" customHeight="1" s="36"/>
    <row r="514" ht="15.75" customHeight="1" s="36"/>
    <row r="515" ht="15.75" customHeight="1" s="36"/>
    <row r="516" ht="15.75" customHeight="1" s="36"/>
    <row r="517" ht="15.75" customHeight="1" s="36"/>
    <row r="518" ht="15.75" customHeight="1" s="36"/>
    <row r="519" ht="15.75" customHeight="1" s="36"/>
    <row r="520" ht="15.75" customHeight="1" s="36"/>
    <row r="521" ht="15.75" customHeight="1" s="36"/>
    <row r="522" ht="15.75" customHeight="1" s="36"/>
    <row r="523" ht="15.75" customHeight="1" s="36"/>
    <row r="524" ht="15.75" customHeight="1" s="36"/>
    <row r="525" ht="15.75" customHeight="1" s="36"/>
    <row r="526" ht="15.75" customHeight="1" s="36"/>
    <row r="527" ht="15.75" customHeight="1" s="36"/>
    <row r="528" ht="15.75" customHeight="1" s="36"/>
    <row r="529" ht="15.75" customHeight="1" s="36"/>
    <row r="530" ht="15.75" customHeight="1" s="36"/>
    <row r="531" ht="15.75" customHeight="1" s="36"/>
    <row r="532" ht="15.75" customHeight="1" s="36"/>
    <row r="533" ht="15.75" customHeight="1" s="36"/>
    <row r="534" ht="15.75" customHeight="1" s="36"/>
    <row r="535" ht="15.75" customHeight="1" s="36"/>
    <row r="536" ht="15.75" customHeight="1" s="36"/>
    <row r="537" ht="15.75" customHeight="1" s="36"/>
    <row r="538" ht="15.75" customHeight="1" s="36"/>
    <row r="539" ht="15.75" customHeight="1" s="36"/>
    <row r="540" ht="15.75" customHeight="1" s="36"/>
    <row r="541" ht="15.75" customHeight="1" s="36"/>
    <row r="542" ht="15.75" customHeight="1" s="36"/>
    <row r="543" ht="15.75" customHeight="1" s="36"/>
    <row r="544" ht="15.75" customHeight="1" s="36"/>
    <row r="545" ht="15.75" customHeight="1" s="36"/>
    <row r="546" ht="15.75" customHeight="1" s="36"/>
    <row r="547" ht="15.75" customHeight="1" s="36"/>
    <row r="548" ht="15.75" customHeight="1" s="36"/>
    <row r="549" ht="15.75" customHeight="1" s="36"/>
    <row r="550" ht="15.75" customHeight="1" s="36"/>
    <row r="551" ht="15.75" customHeight="1" s="36"/>
    <row r="552" ht="15.75" customHeight="1" s="36"/>
    <row r="553" ht="15.75" customHeight="1" s="36"/>
    <row r="554" ht="15.75" customHeight="1" s="36"/>
    <row r="555" ht="15.75" customHeight="1" s="36"/>
    <row r="556" ht="15.75" customHeight="1" s="36"/>
    <row r="557" ht="15.75" customHeight="1" s="36"/>
    <row r="558" ht="15.75" customHeight="1" s="36"/>
    <row r="559" ht="15.75" customHeight="1" s="36"/>
    <row r="560" ht="15.75" customHeight="1" s="36"/>
    <row r="561" ht="15.75" customHeight="1" s="36"/>
    <row r="562" ht="15.75" customHeight="1" s="36"/>
    <row r="563" ht="15.75" customHeight="1" s="36"/>
    <row r="564" ht="15.75" customHeight="1" s="36"/>
    <row r="565" ht="15.75" customHeight="1" s="36"/>
    <row r="566" ht="15.75" customHeight="1" s="36"/>
    <row r="567" ht="15.75" customHeight="1" s="36"/>
    <row r="568" ht="15.75" customHeight="1" s="36"/>
    <row r="569" ht="15.75" customHeight="1" s="36"/>
    <row r="570" ht="15.75" customHeight="1" s="36"/>
    <row r="571" ht="15.75" customHeight="1" s="36"/>
    <row r="572" ht="15.75" customHeight="1" s="36"/>
    <row r="573" ht="15.75" customHeight="1" s="36"/>
    <row r="574" ht="15.75" customHeight="1" s="36"/>
    <row r="575" ht="15.75" customHeight="1" s="36"/>
    <row r="576" ht="15.75" customHeight="1" s="36"/>
    <row r="577" ht="15.75" customHeight="1" s="36"/>
    <row r="578" ht="15.75" customHeight="1" s="36"/>
    <row r="579" ht="15.75" customHeight="1" s="36"/>
    <row r="580" ht="15.75" customHeight="1" s="36"/>
    <row r="581" ht="15.75" customHeight="1" s="36"/>
    <row r="582" ht="15.75" customHeight="1" s="36"/>
    <row r="583" ht="15.75" customHeight="1" s="36"/>
    <row r="584" ht="15.75" customHeight="1" s="36"/>
    <row r="585" ht="15.75" customHeight="1" s="36"/>
    <row r="586" ht="15.75" customHeight="1" s="36"/>
    <row r="587" ht="15.75" customHeight="1" s="36"/>
    <row r="588" ht="15.75" customHeight="1" s="36"/>
    <row r="589" ht="15.75" customHeight="1" s="36"/>
    <row r="590" ht="15.75" customHeight="1" s="36"/>
    <row r="591" ht="15.75" customHeight="1" s="36"/>
    <row r="592" ht="15.75" customHeight="1" s="36"/>
    <row r="593" ht="15.75" customHeight="1" s="36"/>
    <row r="594" ht="15.75" customHeight="1" s="36"/>
    <row r="595" ht="15.75" customHeight="1" s="36"/>
    <row r="596" ht="15.75" customHeight="1" s="36"/>
    <row r="597" ht="15.75" customHeight="1" s="36"/>
    <row r="598" ht="15.75" customHeight="1" s="36"/>
    <row r="599" ht="15.75" customHeight="1" s="36"/>
    <row r="600" ht="15.75" customHeight="1" s="36"/>
    <row r="601" ht="15.75" customHeight="1" s="36"/>
    <row r="602" ht="15.75" customHeight="1" s="36"/>
    <row r="603" ht="15.75" customHeight="1" s="36"/>
    <row r="604" ht="15.75" customHeight="1" s="36"/>
    <row r="605" ht="15.75" customHeight="1" s="36"/>
    <row r="606" ht="15.75" customHeight="1" s="36"/>
    <row r="607" ht="15.75" customHeight="1" s="36"/>
    <row r="608" ht="15.75" customHeight="1" s="36"/>
    <row r="609" ht="15.75" customHeight="1" s="36"/>
    <row r="610" ht="15.75" customHeight="1" s="36"/>
    <row r="611" ht="15.75" customHeight="1" s="36"/>
    <row r="612" ht="15.75" customHeight="1" s="36"/>
    <row r="613" ht="15.75" customHeight="1" s="36"/>
    <row r="614" ht="15.75" customHeight="1" s="36"/>
    <row r="615" ht="15.75" customHeight="1" s="36"/>
    <row r="616" ht="15.75" customHeight="1" s="36"/>
    <row r="617" ht="15.75" customHeight="1" s="36"/>
    <row r="618" ht="15.75" customHeight="1" s="36"/>
    <row r="619" ht="15.75" customHeight="1" s="36"/>
    <row r="620" ht="15.75" customHeight="1" s="36"/>
    <row r="621" ht="15.75" customHeight="1" s="36"/>
    <row r="622" ht="15.75" customHeight="1" s="36"/>
    <row r="623" ht="15.75" customHeight="1" s="36"/>
    <row r="624" ht="15.75" customHeight="1" s="36"/>
    <row r="625" ht="15.75" customHeight="1" s="36"/>
    <row r="626" ht="15.75" customHeight="1" s="36"/>
    <row r="627" ht="15.75" customHeight="1" s="36"/>
    <row r="628" ht="15.75" customHeight="1" s="36"/>
    <row r="629" ht="15.75" customHeight="1" s="36"/>
    <row r="630" ht="15.75" customHeight="1" s="36"/>
    <row r="631" ht="15.75" customHeight="1" s="36"/>
    <row r="632" ht="15.75" customHeight="1" s="36"/>
    <row r="633" ht="15.75" customHeight="1" s="36"/>
    <row r="634" ht="15.75" customHeight="1" s="36"/>
    <row r="635" ht="15.75" customHeight="1" s="36"/>
    <row r="636" ht="15.75" customHeight="1" s="36"/>
    <row r="637" ht="15.75" customHeight="1" s="36"/>
    <row r="638" ht="15.75" customHeight="1" s="36"/>
    <row r="639" ht="15.75" customHeight="1" s="36"/>
    <row r="640" ht="15.75" customHeight="1" s="36"/>
    <row r="641" ht="15.75" customHeight="1" s="36"/>
    <row r="642" ht="15.75" customHeight="1" s="36"/>
    <row r="643" ht="15.75" customHeight="1" s="36"/>
    <row r="644" ht="15.75" customHeight="1" s="36"/>
    <row r="645" ht="15.75" customHeight="1" s="36"/>
    <row r="646" ht="15.75" customHeight="1" s="36"/>
    <row r="647" ht="15.75" customHeight="1" s="36"/>
    <row r="648" ht="15.75" customHeight="1" s="36"/>
    <row r="649" ht="15.75" customHeight="1" s="36"/>
    <row r="650" ht="15.75" customHeight="1" s="36"/>
    <row r="651" ht="15.75" customHeight="1" s="36"/>
    <row r="652" ht="15.75" customHeight="1" s="36"/>
    <row r="653" ht="15.75" customHeight="1" s="36"/>
    <row r="654" ht="15.75" customHeight="1" s="36"/>
    <row r="655" ht="15.75" customHeight="1" s="36"/>
    <row r="656" ht="15.75" customHeight="1" s="36"/>
    <row r="657" ht="15.75" customHeight="1" s="36"/>
    <row r="658" ht="15.75" customHeight="1" s="36"/>
    <row r="659" ht="15.75" customHeight="1" s="36"/>
    <row r="660" ht="15.75" customHeight="1" s="36"/>
    <row r="661" ht="15.75" customHeight="1" s="36"/>
    <row r="662" ht="15.75" customHeight="1" s="36"/>
    <row r="663" ht="15.75" customHeight="1" s="36"/>
    <row r="664" ht="15.75" customHeight="1" s="36"/>
    <row r="665" ht="15.75" customHeight="1" s="36"/>
    <row r="666" ht="15.75" customHeight="1" s="36"/>
    <row r="667" ht="15.75" customHeight="1" s="36"/>
    <row r="668" ht="15.75" customHeight="1" s="36"/>
    <row r="669" ht="15.75" customHeight="1" s="36"/>
    <row r="670" ht="15.75" customHeight="1" s="36"/>
    <row r="671" ht="15.75" customHeight="1" s="36"/>
    <row r="672" ht="15.75" customHeight="1" s="36"/>
    <row r="673" ht="15.75" customHeight="1" s="36"/>
    <row r="674" ht="15.75" customHeight="1" s="36"/>
    <row r="675" ht="15.75" customHeight="1" s="36"/>
    <row r="676" ht="15.75" customHeight="1" s="36"/>
    <row r="677" ht="15.75" customHeight="1" s="36"/>
    <row r="678" ht="15.75" customHeight="1" s="36"/>
    <row r="679" ht="15.75" customHeight="1" s="36"/>
    <row r="680" ht="15.75" customHeight="1" s="36"/>
    <row r="681" ht="15.75" customHeight="1" s="36"/>
    <row r="682" ht="15.75" customHeight="1" s="36"/>
    <row r="683" ht="15.75" customHeight="1" s="36"/>
    <row r="684" ht="15.75" customHeight="1" s="36"/>
    <row r="685" ht="15.75" customHeight="1" s="36"/>
    <row r="686" ht="15.75" customHeight="1" s="36"/>
    <row r="687" ht="15.75" customHeight="1" s="36"/>
    <row r="688" ht="15.75" customHeight="1" s="36"/>
    <row r="689" ht="15.75" customHeight="1" s="36"/>
    <row r="690" ht="15.75" customHeight="1" s="36"/>
    <row r="691" ht="15.75" customHeight="1" s="36"/>
    <row r="692" ht="15.75" customHeight="1" s="36"/>
    <row r="693" ht="15.75" customHeight="1" s="36"/>
    <row r="694" ht="15.75" customHeight="1" s="36"/>
    <row r="695" ht="15.75" customHeight="1" s="36"/>
    <row r="696" ht="15.75" customHeight="1" s="36"/>
    <row r="697" ht="15.75" customHeight="1" s="36"/>
    <row r="698" ht="15.75" customHeight="1" s="36"/>
    <row r="699" ht="15.75" customHeight="1" s="36"/>
    <row r="700" ht="15.75" customHeight="1" s="36"/>
    <row r="701" ht="15.75" customHeight="1" s="36"/>
    <row r="702" ht="15.75" customHeight="1" s="36"/>
    <row r="703" ht="15.75" customHeight="1" s="36"/>
    <row r="704" ht="15.75" customHeight="1" s="36"/>
    <row r="705" ht="15.75" customHeight="1" s="36"/>
    <row r="706" ht="15.75" customHeight="1" s="36"/>
    <row r="707" ht="15.75" customHeight="1" s="36"/>
    <row r="708" ht="15.75" customHeight="1" s="36"/>
    <row r="709" ht="15.75" customHeight="1" s="36"/>
    <row r="710" ht="15.75" customHeight="1" s="36"/>
    <row r="711" ht="15.75" customHeight="1" s="36"/>
    <row r="712" ht="15.75" customHeight="1" s="36"/>
    <row r="713" ht="15.75" customHeight="1" s="36"/>
    <row r="714" ht="15.75" customHeight="1" s="36"/>
    <row r="715" ht="15.75" customHeight="1" s="36"/>
    <row r="716" ht="15.75" customHeight="1" s="36"/>
    <row r="717" ht="15.75" customHeight="1" s="36"/>
    <row r="718" ht="15.75" customHeight="1" s="36"/>
    <row r="719" ht="15.75" customHeight="1" s="36"/>
    <row r="720" ht="15.75" customHeight="1" s="36"/>
    <row r="721" ht="15.75" customHeight="1" s="36"/>
    <row r="722" ht="15.75" customHeight="1" s="36"/>
    <row r="723" ht="15.75" customHeight="1" s="36"/>
    <row r="724" ht="15.75" customHeight="1" s="36"/>
    <row r="725" ht="15.75" customHeight="1" s="36"/>
    <row r="726" ht="15.75" customHeight="1" s="36"/>
    <row r="727" ht="15.75" customHeight="1" s="36"/>
    <row r="728" ht="15.75" customHeight="1" s="36"/>
    <row r="729" ht="15.75" customHeight="1" s="36"/>
    <row r="730" ht="15.75" customHeight="1" s="36"/>
    <row r="731" ht="15.75" customHeight="1" s="36"/>
    <row r="732" ht="15.75" customHeight="1" s="36"/>
    <row r="733" ht="15.75" customHeight="1" s="36"/>
    <row r="734" ht="15.75" customHeight="1" s="36"/>
    <row r="735" ht="15.75" customHeight="1" s="36"/>
    <row r="736" ht="15.75" customHeight="1" s="36"/>
    <row r="737" ht="15.75" customHeight="1" s="36"/>
    <row r="738" ht="15.75" customHeight="1" s="36"/>
    <row r="739" ht="15.75" customHeight="1" s="36"/>
    <row r="740" ht="15.75" customHeight="1" s="36"/>
    <row r="741" ht="15.75" customHeight="1" s="36"/>
    <row r="742" ht="15.75" customHeight="1" s="36"/>
    <row r="743" ht="15.75" customHeight="1" s="36"/>
    <row r="744" ht="15.75" customHeight="1" s="36"/>
    <row r="745" ht="15.75" customHeight="1" s="36"/>
    <row r="746" ht="15.75" customHeight="1" s="36"/>
    <row r="747" ht="15.75" customHeight="1" s="36"/>
    <row r="748" ht="15.75" customHeight="1" s="36"/>
    <row r="749" ht="15.75" customHeight="1" s="36"/>
    <row r="750" ht="15.75" customHeight="1" s="36"/>
    <row r="751" ht="15.75" customHeight="1" s="36"/>
    <row r="752" ht="15.75" customHeight="1" s="36"/>
    <row r="753" ht="15.75" customHeight="1" s="36"/>
    <row r="754" ht="15.75" customHeight="1" s="36"/>
    <row r="755" ht="15.75" customHeight="1" s="36"/>
    <row r="756" ht="15.75" customHeight="1" s="36"/>
    <row r="757" ht="15.75" customHeight="1" s="36"/>
    <row r="758" ht="15.75" customHeight="1" s="36"/>
    <row r="759" ht="15.75" customHeight="1" s="36"/>
    <row r="760" ht="15.75" customHeight="1" s="36"/>
    <row r="761" ht="15.75" customHeight="1" s="36"/>
    <row r="762" ht="15.75" customHeight="1" s="36"/>
    <row r="763" ht="15.75" customHeight="1" s="36"/>
    <row r="764" ht="15.75" customHeight="1" s="36"/>
    <row r="765" ht="15.75" customHeight="1" s="36"/>
    <row r="766" ht="15.75" customHeight="1" s="36"/>
    <row r="767" ht="15.75" customHeight="1" s="36"/>
    <row r="768" ht="15.75" customHeight="1" s="36"/>
    <row r="769" ht="15.75" customHeight="1" s="36"/>
    <row r="770" ht="15.75" customHeight="1" s="36"/>
    <row r="771" ht="15.75" customHeight="1" s="36"/>
    <row r="772" ht="15.75" customHeight="1" s="36"/>
    <row r="773" ht="15.75" customHeight="1" s="36"/>
    <row r="774" ht="15.75" customHeight="1" s="36"/>
    <row r="775" ht="15.75" customHeight="1" s="36"/>
    <row r="776" ht="15.75" customHeight="1" s="36"/>
    <row r="777" ht="15.75" customHeight="1" s="36"/>
    <row r="778" ht="15.75" customHeight="1" s="36"/>
    <row r="779" ht="15.75" customHeight="1" s="36"/>
    <row r="780" ht="15.75" customHeight="1" s="36"/>
    <row r="781" ht="15.75" customHeight="1" s="36"/>
    <row r="782" ht="15.75" customHeight="1" s="36"/>
    <row r="783" ht="15.75" customHeight="1" s="36"/>
    <row r="784" ht="15.75" customHeight="1" s="36"/>
    <row r="785" ht="15.75" customHeight="1" s="36"/>
    <row r="786" ht="15.75" customHeight="1" s="36"/>
    <row r="787" ht="15.75" customHeight="1" s="36"/>
    <row r="788" ht="15.75" customHeight="1" s="36"/>
    <row r="789" ht="15.75" customHeight="1" s="36"/>
    <row r="790" ht="15.75" customHeight="1" s="36"/>
    <row r="791" ht="15.75" customHeight="1" s="36"/>
    <row r="792" ht="15.75" customHeight="1" s="36"/>
    <row r="793" ht="15.75" customHeight="1" s="36"/>
    <row r="794" ht="15.75" customHeight="1" s="36"/>
    <row r="795" ht="15.75" customHeight="1" s="36"/>
    <row r="796" ht="15.75" customHeight="1" s="36"/>
    <row r="797" ht="15.75" customHeight="1" s="36"/>
    <row r="798" ht="15.75" customHeight="1" s="36"/>
    <row r="799" ht="15.75" customHeight="1" s="36"/>
    <row r="800" ht="15.75" customHeight="1" s="36"/>
    <row r="801" ht="15.75" customHeight="1" s="36"/>
    <row r="802" ht="15.75" customHeight="1" s="36"/>
    <row r="803" ht="15.75" customHeight="1" s="36"/>
    <row r="804" ht="15.75" customHeight="1" s="36"/>
    <row r="805" ht="15.75" customHeight="1" s="36"/>
    <row r="806" ht="15.75" customHeight="1" s="36"/>
    <row r="807" ht="15.75" customHeight="1" s="36"/>
    <row r="808" ht="15.75" customHeight="1" s="36"/>
    <row r="809" ht="15.75" customHeight="1" s="36"/>
    <row r="810" ht="15.75" customHeight="1" s="36"/>
    <row r="811" ht="15.75" customHeight="1" s="36"/>
    <row r="812" ht="15.75" customHeight="1" s="36"/>
    <row r="813" ht="15.75" customHeight="1" s="36"/>
    <row r="814" ht="15.75" customHeight="1" s="36"/>
    <row r="815" ht="15.75" customHeight="1" s="36"/>
    <row r="816" ht="15.75" customHeight="1" s="36"/>
    <row r="817" ht="15.75" customHeight="1" s="36"/>
    <row r="818" ht="15.75" customHeight="1" s="36"/>
    <row r="819" ht="15.75" customHeight="1" s="36"/>
    <row r="820" ht="15.75" customHeight="1" s="36"/>
    <row r="821" ht="15.75" customHeight="1" s="36"/>
    <row r="822" ht="15.75" customHeight="1" s="36"/>
    <row r="823" ht="15.75" customHeight="1" s="36"/>
    <row r="824" ht="15.75" customHeight="1" s="36"/>
    <row r="825" ht="15.75" customHeight="1" s="36"/>
    <row r="826" ht="15.75" customHeight="1" s="36"/>
    <row r="827" ht="15.75" customHeight="1" s="36"/>
    <row r="828" ht="15.75" customHeight="1" s="36"/>
    <row r="829" ht="15.75" customHeight="1" s="36"/>
    <row r="830" ht="15.75" customHeight="1" s="36"/>
    <row r="831" ht="15.75" customHeight="1" s="36"/>
    <row r="832" ht="15.75" customHeight="1" s="36"/>
    <row r="833" ht="15.75" customHeight="1" s="36"/>
    <row r="834" ht="15.75" customHeight="1" s="36"/>
    <row r="835" ht="15.75" customHeight="1" s="36"/>
    <row r="836" ht="15.75" customHeight="1" s="36"/>
    <row r="837" ht="15.75" customHeight="1" s="36"/>
    <row r="838" ht="15.75" customHeight="1" s="36"/>
    <row r="839" ht="15.75" customHeight="1" s="36"/>
    <row r="840" ht="15.75" customHeight="1" s="36"/>
    <row r="841" ht="15.75" customHeight="1" s="36"/>
    <row r="842" ht="15.75" customHeight="1" s="36"/>
    <row r="843" ht="15.75" customHeight="1" s="36"/>
    <row r="844" ht="15.75" customHeight="1" s="36"/>
    <row r="845" ht="15.75" customHeight="1" s="36"/>
    <row r="846" ht="15.75" customHeight="1" s="36"/>
    <row r="847" ht="15.75" customHeight="1" s="36"/>
    <row r="848" ht="15.75" customHeight="1" s="36"/>
    <row r="849" ht="15.75" customHeight="1" s="36"/>
    <row r="850" ht="15.75" customHeight="1" s="36"/>
    <row r="851" ht="15.75" customHeight="1" s="36"/>
    <row r="852" ht="15.75" customHeight="1" s="36"/>
    <row r="853" ht="15.75" customHeight="1" s="36"/>
    <row r="854" ht="15.75" customHeight="1" s="36"/>
    <row r="855" ht="15.75" customHeight="1" s="36"/>
    <row r="856" ht="15.75" customHeight="1" s="36"/>
    <row r="857" ht="15.75" customHeight="1" s="36"/>
    <row r="858" ht="15.75" customHeight="1" s="36"/>
    <row r="859" ht="15.75" customHeight="1" s="36"/>
    <row r="860" ht="15.75" customHeight="1" s="36"/>
    <row r="861" ht="15.75" customHeight="1" s="36"/>
    <row r="862" ht="15.75" customHeight="1" s="36"/>
    <row r="863" ht="15.75" customHeight="1" s="36"/>
    <row r="864" ht="15.75" customHeight="1" s="36"/>
    <row r="865" ht="15.75" customHeight="1" s="36"/>
    <row r="866" ht="15.75" customHeight="1" s="36"/>
    <row r="867" ht="15.75" customHeight="1" s="36"/>
    <row r="868" ht="15.75" customHeight="1" s="36"/>
    <row r="869" ht="15.75" customHeight="1" s="36"/>
    <row r="870" ht="15.75" customHeight="1" s="36"/>
    <row r="871" ht="15.75" customHeight="1" s="36"/>
    <row r="872" ht="15.75" customHeight="1" s="36"/>
    <row r="873" ht="15.75" customHeight="1" s="36"/>
    <row r="874" ht="15.75" customHeight="1" s="36"/>
    <row r="875" ht="15.75" customHeight="1" s="36"/>
    <row r="876" ht="15.75" customHeight="1" s="36"/>
    <row r="877" ht="15.75" customHeight="1" s="36"/>
    <row r="878" ht="15.75" customHeight="1" s="36"/>
    <row r="879" ht="15.75" customHeight="1" s="36"/>
    <row r="880" ht="15.75" customHeight="1" s="36"/>
    <row r="881" ht="15.75" customHeight="1" s="36"/>
    <row r="882" ht="15.75" customHeight="1" s="36"/>
    <row r="883" ht="15.75" customHeight="1" s="36"/>
    <row r="884" ht="15.75" customHeight="1" s="36"/>
    <row r="885" ht="15.75" customHeight="1" s="36"/>
    <row r="886" ht="15.75" customHeight="1" s="36"/>
    <row r="887" ht="15.75" customHeight="1" s="36"/>
    <row r="888" ht="15.75" customHeight="1" s="36"/>
    <row r="889" ht="15.75" customHeight="1" s="36"/>
    <row r="890" ht="15.75" customHeight="1" s="36"/>
    <row r="891" ht="15.75" customHeight="1" s="36"/>
    <row r="892" ht="15.75" customHeight="1" s="36"/>
    <row r="893" ht="15.75" customHeight="1" s="36"/>
    <row r="894" ht="15.75" customHeight="1" s="36"/>
    <row r="895" ht="15.75" customHeight="1" s="36"/>
    <row r="896" ht="15.75" customHeight="1" s="36"/>
    <row r="897" ht="15.75" customHeight="1" s="36"/>
    <row r="898" ht="15.75" customHeight="1" s="36"/>
    <row r="899" ht="15.75" customHeight="1" s="36"/>
    <row r="900" ht="15.75" customHeight="1" s="36"/>
    <row r="901" ht="15.75" customHeight="1" s="36"/>
    <row r="902" ht="15.75" customHeight="1" s="36"/>
    <row r="903" ht="15.75" customHeight="1" s="36"/>
    <row r="904" ht="15.75" customHeight="1" s="36"/>
    <row r="905" ht="15.75" customHeight="1" s="36"/>
    <row r="906" ht="15.75" customHeight="1" s="36"/>
    <row r="907" ht="15.75" customHeight="1" s="36"/>
    <row r="908" ht="15.75" customHeight="1" s="36"/>
    <row r="909" ht="15.75" customHeight="1" s="36"/>
    <row r="910" ht="15.75" customHeight="1" s="36"/>
    <row r="911" ht="15.75" customHeight="1" s="36"/>
    <row r="912" ht="15.75" customHeight="1" s="36"/>
    <row r="913" ht="15.75" customHeight="1" s="36"/>
    <row r="914" ht="15.75" customHeight="1" s="36"/>
    <row r="915" ht="15.75" customHeight="1" s="36"/>
    <row r="916" ht="15.75" customHeight="1" s="36"/>
    <row r="917" ht="15.75" customHeight="1" s="36"/>
    <row r="918" ht="15.75" customHeight="1" s="36"/>
    <row r="919" ht="15.75" customHeight="1" s="36"/>
    <row r="920" ht="15.75" customHeight="1" s="36"/>
    <row r="921" ht="15.75" customHeight="1" s="36"/>
    <row r="922" ht="15.75" customHeight="1" s="36"/>
    <row r="923" ht="15.75" customHeight="1" s="36"/>
    <row r="924" ht="15.75" customHeight="1" s="36"/>
    <row r="925" ht="15.75" customHeight="1" s="36"/>
    <row r="926" ht="15.75" customHeight="1" s="36"/>
    <row r="927" ht="15.75" customHeight="1" s="36"/>
    <row r="928" ht="15.75" customHeight="1" s="36"/>
    <row r="929" ht="15.75" customHeight="1" s="36"/>
    <row r="930" ht="15.75" customHeight="1" s="36"/>
    <row r="931" ht="15.75" customHeight="1" s="36"/>
    <row r="932" ht="15.75" customHeight="1" s="36"/>
    <row r="933" ht="15.75" customHeight="1" s="36"/>
    <row r="934" ht="15.75" customHeight="1" s="36"/>
    <row r="935" ht="15.75" customHeight="1" s="36"/>
    <row r="936" ht="15.75" customHeight="1" s="36"/>
    <row r="937" ht="15.75" customHeight="1" s="36"/>
    <row r="938" ht="15.75" customHeight="1" s="36"/>
    <row r="939" ht="15.75" customHeight="1" s="36"/>
    <row r="940" ht="15.75" customHeight="1" s="36"/>
    <row r="941" ht="15.75" customHeight="1" s="36"/>
    <row r="942" ht="15.75" customHeight="1" s="36"/>
    <row r="943" ht="15.75" customHeight="1" s="36"/>
    <row r="944" ht="15.75" customHeight="1" s="36"/>
    <row r="945" ht="15.75" customHeight="1" s="36"/>
    <row r="946" ht="15.75" customHeight="1" s="36"/>
    <row r="947" ht="15.75" customHeight="1" s="36"/>
    <row r="948" ht="15.75" customHeight="1" s="36"/>
    <row r="949" ht="15.75" customHeight="1" s="36"/>
    <row r="950" ht="15.75" customHeight="1" s="36"/>
    <row r="951" ht="15.75" customHeight="1" s="36"/>
    <row r="952" ht="15.75" customHeight="1" s="36"/>
    <row r="953" ht="15.75" customHeight="1" s="36"/>
    <row r="954" ht="15.75" customHeight="1" s="36"/>
    <row r="955" ht="15.75" customHeight="1" s="36"/>
    <row r="956" ht="15.75" customHeight="1" s="36"/>
    <row r="957" ht="15.75" customHeight="1" s="36"/>
    <row r="958" ht="15.75" customHeight="1" s="36"/>
    <row r="959" ht="15.75" customHeight="1" s="36"/>
    <row r="960" ht="15.75" customHeight="1" s="36"/>
    <row r="961" ht="15.75" customHeight="1" s="36"/>
    <row r="962" ht="15.75" customHeight="1" s="36"/>
    <row r="963" ht="15.75" customHeight="1" s="36"/>
    <row r="964" ht="15.75" customHeight="1" s="36"/>
    <row r="965" ht="15.75" customHeight="1" s="36"/>
    <row r="966" ht="15.75" customHeight="1" s="36"/>
    <row r="967" ht="15.75" customHeight="1" s="36"/>
    <row r="968" ht="15.75" customHeight="1" s="36"/>
    <row r="969" ht="15.75" customHeight="1" s="36"/>
    <row r="970" ht="15.75" customHeight="1" s="36"/>
    <row r="971" ht="15.75" customHeight="1" s="36"/>
    <row r="972" ht="15.75" customHeight="1" s="36"/>
    <row r="973" ht="15.75" customHeight="1" s="36"/>
    <row r="974" ht="15.75" customHeight="1" s="36"/>
    <row r="975" ht="15.75" customHeight="1" s="36"/>
    <row r="976" ht="15.75" customHeight="1" s="36"/>
    <row r="977" ht="15.75" customHeight="1" s="36"/>
    <row r="978" ht="15.75" customHeight="1" s="36"/>
    <row r="979" ht="15.75" customHeight="1" s="36"/>
    <row r="980" ht="15.75" customHeight="1" s="36"/>
    <row r="981" ht="15.75" customHeight="1" s="36"/>
    <row r="982" ht="15.75" customHeight="1" s="36"/>
    <row r="983" ht="15.75" customHeight="1" s="36"/>
    <row r="984" ht="15.75" customHeight="1" s="36"/>
    <row r="985" ht="15.75" customHeight="1" s="36"/>
    <row r="986" ht="15.75" customHeight="1" s="36"/>
    <row r="987" ht="15.75" customHeight="1" s="36"/>
    <row r="988" ht="15.75" customHeight="1" s="36"/>
    <row r="989" ht="15.75" customHeight="1" s="36"/>
    <row r="990" ht="15.75" customHeight="1" s="36"/>
    <row r="991" ht="15.75" customHeight="1" s="36"/>
    <row r="992" ht="15.75" customHeight="1" s="36"/>
    <row r="993" ht="15.75" customHeight="1" s="36"/>
    <row r="994" ht="15.75" customHeight="1" s="36"/>
    <row r="995" ht="15.75" customHeight="1" s="36"/>
    <row r="996" ht="15.75" customHeight="1" s="36"/>
    <row r="997" ht="15.75" customHeight="1" s="36"/>
    <row r="998" ht="15.75" customHeight="1" s="36"/>
    <row r="999" ht="15.75" customHeight="1" s="36"/>
    <row r="1000" ht="15.75" customHeight="1" s="36"/>
  </sheetData>
  <mergeCells count="4">
    <mergeCell ref="A12:E12"/>
    <mergeCell ref="A2:H2"/>
    <mergeCell ref="A13:E13"/>
    <mergeCell ref="A1:H1"/>
  </mergeCells>
  <pageMargins left="0.7" right="0.7" top="0.75" bottom="0.75" header="0" footer="0"/>
  <pageSetup orientation="landscape"/>
</worksheet>
</file>

<file path=xl/worksheets/sheet5.xml><?xml version="1.0" encoding="utf-8"?>
<worksheet xmlns="http://schemas.openxmlformats.org/spreadsheetml/2006/main">
  <sheetPr>
    <outlinePr summaryBelow="1" summaryRight="1"/>
    <pageSetUpPr/>
  </sheetPr>
  <dimension ref="A1:H16"/>
  <sheetViews>
    <sheetView workbookViewId="0">
      <pane ySplit="4" topLeftCell="A5" activePane="bottomLeft" state="frozen"/>
      <selection pane="bottomLeft" activeCell="B6" sqref="B6"/>
    </sheetView>
  </sheetViews>
  <sheetFormatPr baseColWidth="8" defaultColWidth="12.63" defaultRowHeight="15" customHeight="1"/>
  <cols>
    <col width="31" customWidth="1" style="36" min="1" max="1"/>
    <col width="112" customWidth="1" style="36" min="2" max="2"/>
    <col width="8.630000000000001" customWidth="1" style="36" min="3" max="26"/>
  </cols>
  <sheetData>
    <row r="1" ht="45" customHeight="1" s="36">
      <c r="A1" s="1" t="inlineStr">
        <is>
          <t>QUANTEDGE 1.0 — WORKBOOK GUIDE</t>
        </is>
      </c>
    </row>
    <row r="2" ht="28.5" customHeight="1" s="36">
      <c r="A2" s="5" t="inlineStr">
        <is>
          <t>How to track the project and coordinate with Google Sheets, Drive, GitHub and Calendar.</t>
        </is>
      </c>
    </row>
    <row r="3"/>
    <row r="4" ht="30.75" customHeight="1" s="36">
      <c r="A4" s="27" t="inlineStr">
        <is>
          <t>HOW TO USE</t>
        </is>
      </c>
      <c r="B4" s="27" t="inlineStr">
        <is>
          <t>INSTRUCTIONS</t>
        </is>
      </c>
    </row>
    <row r="5" ht="58.5" customHeight="1" s="36">
      <c r="A5" s="7" t="inlineStr">
        <is>
          <t>1. Assign real people</t>
        </is>
      </c>
      <c r="B5" s="7" t="inlineStr">
        <is>
          <t>Owners: Malindu — lead, app, reports and integration; Raveena — data cleaning and KPIs; Dewmini — portfolio construction; Sujan — client mandate and risk estimation. Backtesting, stress testing and validation/decision — all members.</t>
        </is>
      </c>
    </row>
    <row r="6" ht="58.5" customHeight="1" s="36">
      <c r="A6" s="7" t="inlineStr">
        <is>
          <t>2. Manage main tasks</t>
        </is>
      </c>
      <c r="B6" s="7" t="inlineStr">
        <is>
          <t>Main Tasks sheet lists all 21 tasks; column L = definition of done and their required outputs. The Needs column is intentionally omitted.</t>
        </is>
      </c>
    </row>
    <row r="7" ht="58.5" customHeight="1" s="36">
      <c r="A7" s="7" t="inlineStr">
        <is>
          <t>3. Update detailed work</t>
        </is>
      </c>
      <c r="B7" s="7" t="inlineStr">
        <is>
          <t>In Subtasks, select Not Started / In Progress / Blocked / In Review / Done for each row.</t>
        </is>
      </c>
    </row>
    <row r="8" ht="58.5" customHeight="1" s="36">
      <c r="A8" s="7" t="inlineStr">
        <is>
          <t>4. Watch automatic progress</t>
        </is>
      </c>
      <c r="B8" s="7" t="inlineStr">
        <is>
          <t>Main Tasks Progress is calculated from the fraction of subtasks marked Done; Dashboard summarizes counts.</t>
        </is>
      </c>
    </row>
    <row r="9" ht="58.5" customHeight="1" s="36">
      <c r="A9" s="7" t="inlineStr">
        <is>
          <t>5. Define real dates</t>
        </is>
      </c>
      <c r="B9" s="7" t="inlineStr">
        <is>
          <t>The sheet shows relative Week 1–3 labels. Actual due dates are empty until you choose a project start/submission deadline.</t>
        </is>
      </c>
    </row>
    <row r="10" ht="58.5" customHeight="1" s="36">
      <c r="A10" s="7" t="inlineStr">
        <is>
          <t>6. Choose project tooling</t>
        </is>
      </c>
      <c r="B10" s="7" t="inlineStr">
        <is>
          <t>Google Sheets = tracker; Google Drive = shared project folder; GitHub = code; Calendar = demos and deadline milestones.</t>
        </is>
      </c>
    </row>
    <row r="11" ht="58.5" customHeight="1" s="36">
      <c r="A11" s="7" t="inlineStr">
        <is>
          <t>7. Upload to Google</t>
        </is>
      </c>
      <c r="B11" s="7" t="inlineStr">
        <is>
          <t>In Google Drive: New → File upload → select this XLSX → Open with Google Sheets → Save as Google Sheets.</t>
        </is>
      </c>
    </row>
    <row r="12" ht="58.5" customHeight="1" s="36">
      <c r="A12" s="7" t="inlineStr">
        <is>
          <t>8. Share collaboration</t>
        </is>
      </c>
      <c r="B12" s="7" t="inlineStr">
        <is>
          <t>Share the resulting Google Sheet with all team members as Editors, or assign other permission levels if needed.</t>
        </is>
      </c>
    </row>
    <row r="13" ht="58.5" customHeight="1" s="36">
      <c r="A13" s="7" t="inlineStr">
        <is>
          <t>9. Weekly reviews</t>
        </is>
      </c>
      <c r="B13" s="7" t="inlineStr">
        <is>
          <t>Hold a short team check-in to review blocked tasks and complete evidence links; avoid updating progress by gut feeling.</t>
        </is>
      </c>
    </row>
    <row r="14" ht="58.5" customHeight="1" s="36">
      <c r="A14" s="7" t="inlineStr">
        <is>
          <t>10. Competition condition</t>
        </is>
      </c>
      <c r="B14" s="7" t="inlineStr">
        <is>
          <t>T19 pitch and Q&amp;A is conditional on reaching the final five. Macro and innovation tasks are optional.</t>
        </is>
      </c>
    </row>
    <row r="15" ht="58.5" customHeight="1" s="36">
      <c r="A15" s="7" t="inlineStr">
        <is>
          <t>11. Risk estimates</t>
        </is>
      </c>
      <c r="B15" s="7" t="inlineStr">
        <is>
          <t>VaR and ES are risk measures; GARCH and EVT change how those estimates are produced, not what they mean.</t>
        </is>
      </c>
    </row>
    <row r="16" ht="58.5" customHeight="1" s="36">
      <c r="A16" s="7" t="inlineStr">
        <is>
          <t>12. Evidence / links</t>
        </is>
      </c>
      <c r="B16" s="7" t="inlineStr">
        <is>
          <t>Attach PR links, notebook outputs, screenshots or report drafts directly in Notes/Links and Evidence/Link.</t>
        </is>
      </c>
    </row>
    <row r="21" ht="15.75" customHeight="1" s="36"/>
    <row r="22" ht="15.75" customHeight="1" s="36"/>
    <row r="23" ht="15.75" customHeight="1" s="36"/>
    <row r="24" ht="15.75" customHeight="1" s="36"/>
    <row r="25" ht="15.75" customHeight="1" s="36"/>
    <row r="26" ht="15.75" customHeight="1" s="36"/>
    <row r="27" ht="15.75" customHeight="1" s="36"/>
    <row r="28" ht="15.75" customHeight="1" s="36"/>
    <row r="29" ht="15.75" customHeight="1" s="36"/>
    <row r="30" ht="15.75" customHeight="1" s="36"/>
    <row r="31" ht="15.75" customHeight="1" s="36"/>
    <row r="32" ht="15.75" customHeight="1" s="36"/>
    <row r="33" ht="15.75" customHeight="1" s="36"/>
    <row r="34" ht="15.75" customHeight="1" s="36"/>
    <row r="35" ht="15.75" customHeight="1" s="36"/>
    <row r="36" ht="15.75" customHeight="1" s="36"/>
    <row r="37" ht="15.75" customHeight="1" s="36"/>
    <row r="38" ht="15.75" customHeight="1" s="36"/>
    <row r="39" ht="15.75" customHeight="1" s="36"/>
    <row r="40" ht="15.75" customHeight="1" s="36"/>
    <row r="41" ht="15.75" customHeight="1" s="36"/>
    <row r="42" ht="15.75" customHeight="1" s="36"/>
    <row r="43" ht="15.75" customHeight="1" s="36"/>
    <row r="44" ht="15.75" customHeight="1" s="36"/>
    <row r="45" ht="15.75" customHeight="1" s="36"/>
    <row r="46" ht="15.75" customHeight="1" s="36"/>
    <row r="47" ht="15.75" customHeight="1" s="36"/>
    <row r="48" ht="15.75" customHeight="1" s="36"/>
    <row r="49" ht="15.75" customHeight="1" s="36"/>
    <row r="50" ht="15.75" customHeight="1" s="36"/>
    <row r="51" ht="15.75" customHeight="1" s="36"/>
    <row r="52" ht="15.75" customHeight="1" s="36"/>
    <row r="53" ht="15.75" customHeight="1" s="36"/>
    <row r="54" ht="15.75" customHeight="1" s="36"/>
    <row r="55" ht="15.75" customHeight="1" s="36"/>
    <row r="56" ht="15.75" customHeight="1" s="36"/>
    <row r="57" ht="15.75" customHeight="1" s="36"/>
    <row r="58" ht="15.75" customHeight="1" s="36"/>
    <row r="59" ht="15.75" customHeight="1" s="36"/>
    <row r="60" ht="15.75" customHeight="1" s="36"/>
    <row r="61" ht="15.75" customHeight="1" s="36"/>
    <row r="62" ht="15.75" customHeight="1" s="36"/>
    <row r="63" ht="15.75" customHeight="1" s="36"/>
    <row r="64" ht="15.75" customHeight="1" s="36"/>
    <row r="65" ht="15.75" customHeight="1" s="36"/>
    <row r="66" ht="15.75" customHeight="1" s="36"/>
    <row r="67" ht="15.75" customHeight="1" s="36"/>
    <row r="68" ht="15.75" customHeight="1" s="36"/>
    <row r="69" ht="15.75" customHeight="1" s="36"/>
    <row r="70" ht="15.75" customHeight="1" s="36"/>
    <row r="71" ht="15.75" customHeight="1" s="36"/>
    <row r="72" ht="15.75" customHeight="1" s="36"/>
    <row r="73" ht="15.75" customHeight="1" s="36"/>
    <row r="74" ht="15.75" customHeight="1" s="36"/>
    <row r="75" ht="15.75" customHeight="1" s="36"/>
    <row r="76" ht="15.75" customHeight="1" s="36"/>
    <row r="77" ht="15.75" customHeight="1" s="36"/>
    <row r="78" ht="15.75" customHeight="1" s="36"/>
    <row r="79" ht="15.75" customHeight="1" s="36"/>
    <row r="80" ht="15.75" customHeight="1" s="36"/>
    <row r="81" ht="15.75" customHeight="1" s="36"/>
    <row r="82" ht="15.75" customHeight="1" s="36"/>
    <row r="83" ht="15.75" customHeight="1" s="36"/>
    <row r="84" ht="15.75" customHeight="1" s="36"/>
    <row r="85" ht="15.75" customHeight="1" s="36"/>
    <row r="86" ht="15.75" customHeight="1" s="36"/>
    <row r="87" ht="15.75" customHeight="1" s="36"/>
    <row r="88" ht="15.75" customHeight="1" s="36"/>
    <row r="89" ht="15.75" customHeight="1" s="36"/>
    <row r="90" ht="15.75" customHeight="1" s="36"/>
    <row r="91" ht="15.75" customHeight="1" s="36"/>
    <row r="92" ht="15.75" customHeight="1" s="36"/>
    <row r="93" ht="15.75" customHeight="1" s="36"/>
    <row r="94" ht="15.75" customHeight="1" s="36"/>
    <row r="95" ht="15.75" customHeight="1" s="36"/>
    <row r="96" ht="15.75" customHeight="1" s="36"/>
    <row r="97" ht="15.75" customHeight="1" s="36"/>
    <row r="98" ht="15.75" customHeight="1" s="36"/>
    <row r="99" ht="15.75" customHeight="1" s="36"/>
    <row r="100" ht="15.75" customHeight="1" s="36"/>
    <row r="101" ht="15.75" customHeight="1" s="36"/>
    <row r="102" ht="15.75" customHeight="1" s="36"/>
    <row r="103" ht="15.75" customHeight="1" s="36"/>
    <row r="104" ht="15.75" customHeight="1" s="36"/>
    <row r="105" ht="15.75" customHeight="1" s="36"/>
    <row r="106" ht="15.75" customHeight="1" s="36"/>
    <row r="107" ht="15.75" customHeight="1" s="36"/>
    <row r="108" ht="15.75" customHeight="1" s="36"/>
    <row r="109" ht="15.75" customHeight="1" s="36"/>
    <row r="110" ht="15.75" customHeight="1" s="36"/>
    <row r="111" ht="15.75" customHeight="1" s="36"/>
    <row r="112" ht="15.75" customHeight="1" s="36"/>
    <row r="113" ht="15.75" customHeight="1" s="36"/>
    <row r="114" ht="15.75" customHeight="1" s="36"/>
    <row r="115" ht="15.75" customHeight="1" s="36"/>
    <row r="116" ht="15.75" customHeight="1" s="36"/>
    <row r="117" ht="15.75" customHeight="1" s="36"/>
    <row r="118" ht="15.75" customHeight="1" s="36"/>
    <row r="119" ht="15.75" customHeight="1" s="36"/>
    <row r="120" ht="15.75" customHeight="1" s="36"/>
    <row r="121" ht="15.75" customHeight="1" s="36"/>
    <row r="122" ht="15.75" customHeight="1" s="36"/>
    <row r="123" ht="15.75" customHeight="1" s="36"/>
    <row r="124" ht="15.75" customHeight="1" s="36"/>
    <row r="125" ht="15.75" customHeight="1" s="36"/>
    <row r="126" ht="15.75" customHeight="1" s="36"/>
    <row r="127" ht="15.75" customHeight="1" s="36"/>
    <row r="128" ht="15.75" customHeight="1" s="36"/>
    <row r="129" ht="15.75" customHeight="1" s="36"/>
    <row r="130" ht="15.75" customHeight="1" s="36"/>
    <row r="131" ht="15.75" customHeight="1" s="36"/>
    <row r="132" ht="15.75" customHeight="1" s="36"/>
    <row r="133" ht="15.75" customHeight="1" s="36"/>
    <row r="134" ht="15.75" customHeight="1" s="36"/>
    <row r="135" ht="15.75" customHeight="1" s="36"/>
    <row r="136" ht="15.75" customHeight="1" s="36"/>
    <row r="137" ht="15.75" customHeight="1" s="36"/>
    <row r="138" ht="15.75" customHeight="1" s="36"/>
    <row r="139" ht="15.75" customHeight="1" s="36"/>
    <row r="140" ht="15.75" customHeight="1" s="36"/>
    <row r="141" ht="15.75" customHeight="1" s="36"/>
    <row r="142" ht="15.75" customHeight="1" s="36"/>
    <row r="143" ht="15.75" customHeight="1" s="36"/>
    <row r="144" ht="15.75" customHeight="1" s="36"/>
    <row r="145" ht="15.75" customHeight="1" s="36"/>
    <row r="146" ht="15.75" customHeight="1" s="36"/>
    <row r="147" ht="15.75" customHeight="1" s="36"/>
    <row r="148" ht="15.75" customHeight="1" s="36"/>
    <row r="149" ht="15.75" customHeight="1" s="36"/>
    <row r="150" ht="15.75" customHeight="1" s="36"/>
    <row r="151" ht="15.75" customHeight="1" s="36"/>
    <row r="152" ht="15.75" customHeight="1" s="36"/>
    <row r="153" ht="15.75" customHeight="1" s="36"/>
    <row r="154" ht="15.75" customHeight="1" s="36"/>
    <row r="155" ht="15.75" customHeight="1" s="36"/>
    <row r="156" ht="15.75" customHeight="1" s="36"/>
    <row r="157" ht="15.75" customHeight="1" s="36"/>
    <row r="158" ht="15.75" customHeight="1" s="36"/>
    <row r="159" ht="15.75" customHeight="1" s="36"/>
    <row r="160" ht="15.75" customHeight="1" s="36"/>
    <row r="161" ht="15.75" customHeight="1" s="36"/>
    <row r="162" ht="15.75" customHeight="1" s="36"/>
    <row r="163" ht="15.75" customHeight="1" s="36"/>
    <row r="164" ht="15.75" customHeight="1" s="36"/>
    <row r="165" ht="15.75" customHeight="1" s="36"/>
    <row r="166" ht="15.75" customHeight="1" s="36"/>
    <row r="167" ht="15.75" customHeight="1" s="36"/>
    <row r="168" ht="15.75" customHeight="1" s="36"/>
    <row r="169" ht="15.75" customHeight="1" s="36"/>
    <row r="170" ht="15.75" customHeight="1" s="36"/>
    <row r="171" ht="15.75" customHeight="1" s="36"/>
    <row r="172" ht="15.75" customHeight="1" s="36"/>
    <row r="173" ht="15.75" customHeight="1" s="36"/>
    <row r="174" ht="15.75" customHeight="1" s="36"/>
    <row r="175" ht="15.75" customHeight="1" s="36"/>
    <row r="176" ht="15.75" customHeight="1" s="36"/>
    <row r="177" ht="15.75" customHeight="1" s="36"/>
    <row r="178" ht="15.75" customHeight="1" s="36"/>
    <row r="179" ht="15.75" customHeight="1" s="36"/>
    <row r="180" ht="15.75" customHeight="1" s="36"/>
    <row r="181" ht="15.75" customHeight="1" s="36"/>
    <row r="182" ht="15.75" customHeight="1" s="36"/>
    <row r="183" ht="15.75" customHeight="1" s="36"/>
    <row r="184" ht="15.75" customHeight="1" s="36"/>
    <row r="185" ht="15.75" customHeight="1" s="36"/>
    <row r="186" ht="15.75" customHeight="1" s="36"/>
    <row r="187" ht="15.75" customHeight="1" s="36"/>
    <row r="188" ht="15.75" customHeight="1" s="36"/>
    <row r="189" ht="15.75" customHeight="1" s="36"/>
    <row r="190" ht="15.75" customHeight="1" s="36"/>
    <row r="191" ht="15.75" customHeight="1" s="36"/>
    <row r="192" ht="15.75" customHeight="1" s="36"/>
    <row r="193" ht="15.75" customHeight="1" s="36"/>
    <row r="194" ht="15.75" customHeight="1" s="36"/>
    <row r="195" ht="15.75" customHeight="1" s="36"/>
    <row r="196" ht="15.75" customHeight="1" s="36"/>
    <row r="197" ht="15.75" customHeight="1" s="36"/>
    <row r="198" ht="15.75" customHeight="1" s="36"/>
    <row r="199" ht="15.75" customHeight="1" s="36"/>
    <row r="200" ht="15.75" customHeight="1" s="36"/>
    <row r="201" ht="15.75" customHeight="1" s="36"/>
    <row r="202" ht="15.75" customHeight="1" s="36"/>
    <row r="203" ht="15.75" customHeight="1" s="36"/>
    <row r="204" ht="15.75" customHeight="1" s="36"/>
    <row r="205" ht="15.75" customHeight="1" s="36"/>
    <row r="206" ht="15.75" customHeight="1" s="36"/>
    <row r="207" ht="15.75" customHeight="1" s="36"/>
    <row r="208" ht="15.75" customHeight="1" s="36"/>
    <row r="209" ht="15.75" customHeight="1" s="36"/>
    <row r="210" ht="15.75" customHeight="1" s="36"/>
    <row r="211" ht="15.75" customHeight="1" s="36"/>
    <row r="212" ht="15.75" customHeight="1" s="36"/>
    <row r="213" ht="15.75" customHeight="1" s="36"/>
    <row r="214" ht="15.75" customHeight="1" s="36"/>
    <row r="215" ht="15.75" customHeight="1" s="36"/>
    <row r="216" ht="15.75" customHeight="1" s="36"/>
    <row r="217" ht="15.75" customHeight="1" s="36"/>
    <row r="218" ht="15.75" customHeight="1" s="36"/>
    <row r="219" ht="15.75" customHeight="1" s="36"/>
    <row r="220" ht="15.75" customHeight="1" s="36"/>
    <row r="221" ht="15.75" customHeight="1" s="36"/>
    <row r="222" ht="15.75" customHeight="1" s="36"/>
    <row r="223" ht="15.75" customHeight="1" s="36"/>
    <row r="224" ht="15.75" customHeight="1" s="36"/>
    <row r="225" ht="15.75" customHeight="1" s="36"/>
    <row r="226" ht="15.75" customHeight="1" s="36"/>
    <row r="227" ht="15.75" customHeight="1" s="36"/>
    <row r="228" ht="15.75" customHeight="1" s="36"/>
    <row r="229" ht="15.75" customHeight="1" s="36"/>
    <row r="230" ht="15.75" customHeight="1" s="36"/>
    <row r="231" ht="15.75" customHeight="1" s="36"/>
    <row r="232" ht="15.75" customHeight="1" s="36"/>
    <row r="233" ht="15.75" customHeight="1" s="36"/>
    <row r="234" ht="15.75" customHeight="1" s="36"/>
    <row r="235" ht="15.75" customHeight="1" s="36"/>
    <row r="236" ht="15.75" customHeight="1" s="36"/>
    <row r="237" ht="15.75" customHeight="1" s="36"/>
    <row r="238" ht="15.75" customHeight="1" s="36"/>
    <row r="239" ht="15.75" customHeight="1" s="36"/>
    <row r="240" ht="15.75" customHeight="1" s="36"/>
    <row r="241" ht="15.75" customHeight="1" s="36"/>
    <row r="242" ht="15.75" customHeight="1" s="36"/>
    <row r="243" ht="15.75" customHeight="1" s="36"/>
    <row r="244" ht="15.75" customHeight="1" s="36"/>
    <row r="245" ht="15.75" customHeight="1" s="36"/>
    <row r="246" ht="15.75" customHeight="1" s="36"/>
    <row r="247" ht="15.75" customHeight="1" s="36"/>
    <row r="248" ht="15.75" customHeight="1" s="36"/>
    <row r="249" ht="15.75" customHeight="1" s="36"/>
    <row r="250" ht="15.75" customHeight="1" s="36"/>
    <row r="251" ht="15.75" customHeight="1" s="36"/>
    <row r="252" ht="15.75" customHeight="1" s="36"/>
    <row r="253" ht="15.75" customHeight="1" s="36"/>
    <row r="254" ht="15.75" customHeight="1" s="36"/>
    <row r="255" ht="15.75" customHeight="1" s="36"/>
    <row r="256" ht="15.75" customHeight="1" s="36"/>
    <row r="257" ht="15.75" customHeight="1" s="36"/>
    <row r="258" ht="15.75" customHeight="1" s="36"/>
    <row r="259" ht="15.75" customHeight="1" s="36"/>
    <row r="260" ht="15.75" customHeight="1" s="36"/>
    <row r="261" ht="15.75" customHeight="1" s="36"/>
    <row r="262" ht="15.75" customHeight="1" s="36"/>
    <row r="263" ht="15.75" customHeight="1" s="36"/>
    <row r="264" ht="15.75" customHeight="1" s="36"/>
    <row r="265" ht="15.75" customHeight="1" s="36"/>
    <row r="266" ht="15.75" customHeight="1" s="36"/>
    <row r="267" ht="15.75" customHeight="1" s="36"/>
    <row r="268" ht="15.75" customHeight="1" s="36"/>
    <row r="269" ht="15.75" customHeight="1" s="36"/>
    <row r="270" ht="15.75" customHeight="1" s="36"/>
    <row r="271" ht="15.75" customHeight="1" s="36"/>
    <row r="272" ht="15.75" customHeight="1" s="36"/>
    <row r="273" ht="15.75" customHeight="1" s="36"/>
    <row r="274" ht="15.75" customHeight="1" s="36"/>
    <row r="275" ht="15.75" customHeight="1" s="36"/>
    <row r="276" ht="15.75" customHeight="1" s="36"/>
    <row r="277" ht="15.75" customHeight="1" s="36"/>
    <row r="278" ht="15.75" customHeight="1" s="36"/>
    <row r="279" ht="15.75" customHeight="1" s="36"/>
    <row r="280" ht="15.75" customHeight="1" s="36"/>
    <row r="281" ht="15.75" customHeight="1" s="36"/>
    <row r="282" ht="15.75" customHeight="1" s="36"/>
    <row r="283" ht="15.75" customHeight="1" s="36"/>
    <row r="284" ht="15.75" customHeight="1" s="36"/>
    <row r="285" ht="15.75" customHeight="1" s="36"/>
    <row r="286" ht="15.75" customHeight="1" s="36"/>
    <row r="287" ht="15.75" customHeight="1" s="36"/>
    <row r="288" ht="15.75" customHeight="1" s="36"/>
    <row r="289" ht="15.75" customHeight="1" s="36"/>
    <row r="290" ht="15.75" customHeight="1" s="36"/>
    <row r="291" ht="15.75" customHeight="1" s="36"/>
    <row r="292" ht="15.75" customHeight="1" s="36"/>
    <row r="293" ht="15.75" customHeight="1" s="36"/>
    <row r="294" ht="15.75" customHeight="1" s="36"/>
    <row r="295" ht="15.75" customHeight="1" s="36"/>
    <row r="296" ht="15.75" customHeight="1" s="36"/>
    <row r="297" ht="15.75" customHeight="1" s="36"/>
    <row r="298" ht="15.75" customHeight="1" s="36"/>
    <row r="299" ht="15.75" customHeight="1" s="36"/>
    <row r="300" ht="15.75" customHeight="1" s="36"/>
    <row r="301" ht="15.75" customHeight="1" s="36"/>
    <row r="302" ht="15.75" customHeight="1" s="36"/>
    <row r="303" ht="15.75" customHeight="1" s="36"/>
    <row r="304" ht="15.75" customHeight="1" s="36"/>
    <row r="305" ht="15.75" customHeight="1" s="36"/>
    <row r="306" ht="15.75" customHeight="1" s="36"/>
    <row r="307" ht="15.75" customHeight="1" s="36"/>
    <row r="308" ht="15.75" customHeight="1" s="36"/>
    <row r="309" ht="15.75" customHeight="1" s="36"/>
    <row r="310" ht="15.75" customHeight="1" s="36"/>
    <row r="311" ht="15.75" customHeight="1" s="36"/>
    <row r="312" ht="15.75" customHeight="1" s="36"/>
    <row r="313" ht="15.75" customHeight="1" s="36"/>
    <row r="314" ht="15.75" customHeight="1" s="36"/>
    <row r="315" ht="15.75" customHeight="1" s="36"/>
    <row r="316" ht="15.75" customHeight="1" s="36"/>
    <row r="317" ht="15.75" customHeight="1" s="36"/>
    <row r="318" ht="15.75" customHeight="1" s="36"/>
    <row r="319" ht="15.75" customHeight="1" s="36"/>
    <row r="320" ht="15.75" customHeight="1" s="36"/>
    <row r="321" ht="15.75" customHeight="1" s="36"/>
    <row r="322" ht="15.75" customHeight="1" s="36"/>
    <row r="323" ht="15.75" customHeight="1" s="36"/>
    <row r="324" ht="15.75" customHeight="1" s="36"/>
    <row r="325" ht="15.75" customHeight="1" s="36"/>
    <row r="326" ht="15.75" customHeight="1" s="36"/>
    <row r="327" ht="15.75" customHeight="1" s="36"/>
    <row r="328" ht="15.75" customHeight="1" s="36"/>
    <row r="329" ht="15.75" customHeight="1" s="36"/>
    <row r="330" ht="15.75" customHeight="1" s="36"/>
    <row r="331" ht="15.75" customHeight="1" s="36"/>
    <row r="332" ht="15.75" customHeight="1" s="36"/>
    <row r="333" ht="15.75" customHeight="1" s="36"/>
    <row r="334" ht="15.75" customHeight="1" s="36"/>
    <row r="335" ht="15.75" customHeight="1" s="36"/>
    <row r="336" ht="15.75" customHeight="1" s="36"/>
    <row r="337" ht="15.75" customHeight="1" s="36"/>
    <row r="338" ht="15.75" customHeight="1" s="36"/>
    <row r="339" ht="15.75" customHeight="1" s="36"/>
    <row r="340" ht="15.75" customHeight="1" s="36"/>
    <row r="341" ht="15.75" customHeight="1" s="36"/>
    <row r="342" ht="15.75" customHeight="1" s="36"/>
    <row r="343" ht="15.75" customHeight="1" s="36"/>
    <row r="344" ht="15.75" customHeight="1" s="36"/>
    <row r="345" ht="15.75" customHeight="1" s="36"/>
    <row r="346" ht="15.75" customHeight="1" s="36"/>
    <row r="347" ht="15.75" customHeight="1" s="36"/>
    <row r="348" ht="15.75" customHeight="1" s="36"/>
    <row r="349" ht="15.75" customHeight="1" s="36"/>
    <row r="350" ht="15.75" customHeight="1" s="36"/>
    <row r="351" ht="15.75" customHeight="1" s="36"/>
    <row r="352" ht="15.75" customHeight="1" s="36"/>
    <row r="353" ht="15.75" customHeight="1" s="36"/>
    <row r="354" ht="15.75" customHeight="1" s="36"/>
    <row r="355" ht="15.75" customHeight="1" s="36"/>
    <row r="356" ht="15.75" customHeight="1" s="36"/>
    <row r="357" ht="15.75" customHeight="1" s="36"/>
    <row r="358" ht="15.75" customHeight="1" s="36"/>
    <row r="359" ht="15.75" customHeight="1" s="36"/>
    <row r="360" ht="15.75" customHeight="1" s="36"/>
    <row r="361" ht="15.75" customHeight="1" s="36"/>
    <row r="362" ht="15.75" customHeight="1" s="36"/>
    <row r="363" ht="15.75" customHeight="1" s="36"/>
    <row r="364" ht="15.75" customHeight="1" s="36"/>
    <row r="365" ht="15.75" customHeight="1" s="36"/>
    <row r="366" ht="15.75" customHeight="1" s="36"/>
    <row r="367" ht="15.75" customHeight="1" s="36"/>
    <row r="368" ht="15.75" customHeight="1" s="36"/>
    <row r="369" ht="15.75" customHeight="1" s="36"/>
    <row r="370" ht="15.75" customHeight="1" s="36"/>
    <row r="371" ht="15.75" customHeight="1" s="36"/>
    <row r="372" ht="15.75" customHeight="1" s="36"/>
    <row r="373" ht="15.75" customHeight="1" s="36"/>
    <row r="374" ht="15.75" customHeight="1" s="36"/>
    <row r="375" ht="15.75" customHeight="1" s="36"/>
    <row r="376" ht="15.75" customHeight="1" s="36"/>
    <row r="377" ht="15.75" customHeight="1" s="36"/>
    <row r="378" ht="15.75" customHeight="1" s="36"/>
    <row r="379" ht="15.75" customHeight="1" s="36"/>
    <row r="380" ht="15.75" customHeight="1" s="36"/>
    <row r="381" ht="15.75" customHeight="1" s="36"/>
    <row r="382" ht="15.75" customHeight="1" s="36"/>
    <row r="383" ht="15.75" customHeight="1" s="36"/>
    <row r="384" ht="15.75" customHeight="1" s="36"/>
    <row r="385" ht="15.75" customHeight="1" s="36"/>
    <row r="386" ht="15.75" customHeight="1" s="36"/>
    <row r="387" ht="15.75" customHeight="1" s="36"/>
    <row r="388" ht="15.75" customHeight="1" s="36"/>
    <row r="389" ht="15.75" customHeight="1" s="36"/>
    <row r="390" ht="15.75" customHeight="1" s="36"/>
    <row r="391" ht="15.75" customHeight="1" s="36"/>
    <row r="392" ht="15.75" customHeight="1" s="36"/>
    <row r="393" ht="15.75" customHeight="1" s="36"/>
    <row r="394" ht="15.75" customHeight="1" s="36"/>
    <row r="395" ht="15.75" customHeight="1" s="36"/>
    <row r="396" ht="15.75" customHeight="1" s="36"/>
    <row r="397" ht="15.75" customHeight="1" s="36"/>
    <row r="398" ht="15.75" customHeight="1" s="36"/>
    <row r="399" ht="15.75" customHeight="1" s="36"/>
    <row r="400" ht="15.75" customHeight="1" s="36"/>
    <row r="401" ht="15.75" customHeight="1" s="36"/>
    <row r="402" ht="15.75" customHeight="1" s="36"/>
    <row r="403" ht="15.75" customHeight="1" s="36"/>
    <row r="404" ht="15.75" customHeight="1" s="36"/>
    <row r="405" ht="15.75" customHeight="1" s="36"/>
    <row r="406" ht="15.75" customHeight="1" s="36"/>
    <row r="407" ht="15.75" customHeight="1" s="36"/>
    <row r="408" ht="15.75" customHeight="1" s="36"/>
    <row r="409" ht="15.75" customHeight="1" s="36"/>
    <row r="410" ht="15.75" customHeight="1" s="36"/>
    <row r="411" ht="15.75" customHeight="1" s="36"/>
    <row r="412" ht="15.75" customHeight="1" s="36"/>
    <row r="413" ht="15.75" customHeight="1" s="36"/>
    <row r="414" ht="15.75" customHeight="1" s="36"/>
    <row r="415" ht="15.75" customHeight="1" s="36"/>
    <row r="416" ht="15.75" customHeight="1" s="36"/>
    <row r="417" ht="15.75" customHeight="1" s="36"/>
    <row r="418" ht="15.75" customHeight="1" s="36"/>
    <row r="419" ht="15.75" customHeight="1" s="36"/>
    <row r="420" ht="15.75" customHeight="1" s="36"/>
    <row r="421" ht="15.75" customHeight="1" s="36"/>
    <row r="422" ht="15.75" customHeight="1" s="36"/>
    <row r="423" ht="15.75" customHeight="1" s="36"/>
    <row r="424" ht="15.75" customHeight="1" s="36"/>
    <row r="425" ht="15.75" customHeight="1" s="36"/>
    <row r="426" ht="15.75" customHeight="1" s="36"/>
    <row r="427" ht="15.75" customHeight="1" s="36"/>
    <row r="428" ht="15.75" customHeight="1" s="36"/>
    <row r="429" ht="15.75" customHeight="1" s="36"/>
    <row r="430" ht="15.75" customHeight="1" s="36"/>
    <row r="431" ht="15.75" customHeight="1" s="36"/>
    <row r="432" ht="15.75" customHeight="1" s="36"/>
    <row r="433" ht="15.75" customHeight="1" s="36"/>
    <row r="434" ht="15.75" customHeight="1" s="36"/>
    <row r="435" ht="15.75" customHeight="1" s="36"/>
    <row r="436" ht="15.75" customHeight="1" s="36"/>
    <row r="437" ht="15.75" customHeight="1" s="36"/>
    <row r="438" ht="15.75" customHeight="1" s="36"/>
    <row r="439" ht="15.75" customHeight="1" s="36"/>
    <row r="440" ht="15.75" customHeight="1" s="36"/>
    <row r="441" ht="15.75" customHeight="1" s="36"/>
    <row r="442" ht="15.75" customHeight="1" s="36"/>
    <row r="443" ht="15.75" customHeight="1" s="36"/>
    <row r="444" ht="15.75" customHeight="1" s="36"/>
    <row r="445" ht="15.75" customHeight="1" s="36"/>
    <row r="446" ht="15.75" customHeight="1" s="36"/>
    <row r="447" ht="15.75" customHeight="1" s="36"/>
    <row r="448" ht="15.75" customHeight="1" s="36"/>
    <row r="449" ht="15.75" customHeight="1" s="36"/>
    <row r="450" ht="15.75" customHeight="1" s="36"/>
    <row r="451" ht="15.75" customHeight="1" s="36"/>
    <row r="452" ht="15.75" customHeight="1" s="36"/>
    <row r="453" ht="15.75" customHeight="1" s="36"/>
    <row r="454" ht="15.75" customHeight="1" s="36"/>
    <row r="455" ht="15.75" customHeight="1" s="36"/>
    <row r="456" ht="15.75" customHeight="1" s="36"/>
    <row r="457" ht="15.75" customHeight="1" s="36"/>
    <row r="458" ht="15.75" customHeight="1" s="36"/>
    <row r="459" ht="15.75" customHeight="1" s="36"/>
    <row r="460" ht="15.75" customHeight="1" s="36"/>
    <row r="461" ht="15.75" customHeight="1" s="36"/>
    <row r="462" ht="15.75" customHeight="1" s="36"/>
    <row r="463" ht="15.75" customHeight="1" s="36"/>
    <row r="464" ht="15.75" customHeight="1" s="36"/>
    <row r="465" ht="15.75" customHeight="1" s="36"/>
    <row r="466" ht="15.75" customHeight="1" s="36"/>
    <row r="467" ht="15.75" customHeight="1" s="36"/>
    <row r="468" ht="15.75" customHeight="1" s="36"/>
    <row r="469" ht="15.75" customHeight="1" s="36"/>
    <row r="470" ht="15.75" customHeight="1" s="36"/>
    <row r="471" ht="15.75" customHeight="1" s="36"/>
    <row r="472" ht="15.75" customHeight="1" s="36"/>
    <row r="473" ht="15.75" customHeight="1" s="36"/>
    <row r="474" ht="15.75" customHeight="1" s="36"/>
    <row r="475" ht="15.75" customHeight="1" s="36"/>
    <row r="476" ht="15.75" customHeight="1" s="36"/>
    <row r="477" ht="15.75" customHeight="1" s="36"/>
    <row r="478" ht="15.75" customHeight="1" s="36"/>
    <row r="479" ht="15.75" customHeight="1" s="36"/>
    <row r="480" ht="15.75" customHeight="1" s="36"/>
    <row r="481" ht="15.75" customHeight="1" s="36"/>
    <row r="482" ht="15.75" customHeight="1" s="36"/>
    <row r="483" ht="15.75" customHeight="1" s="36"/>
    <row r="484" ht="15.75" customHeight="1" s="36"/>
    <row r="485" ht="15.75" customHeight="1" s="36"/>
    <row r="486" ht="15.75" customHeight="1" s="36"/>
    <row r="487" ht="15.75" customHeight="1" s="36"/>
    <row r="488" ht="15.75" customHeight="1" s="36"/>
    <row r="489" ht="15.75" customHeight="1" s="36"/>
    <row r="490" ht="15.75" customHeight="1" s="36"/>
    <row r="491" ht="15.75" customHeight="1" s="36"/>
    <row r="492" ht="15.75" customHeight="1" s="36"/>
    <row r="493" ht="15.75" customHeight="1" s="36"/>
    <row r="494" ht="15.75" customHeight="1" s="36"/>
    <row r="495" ht="15.75" customHeight="1" s="36"/>
    <row r="496" ht="15.75" customHeight="1" s="36"/>
    <row r="497" ht="15.75" customHeight="1" s="36"/>
    <row r="498" ht="15.75" customHeight="1" s="36"/>
    <row r="499" ht="15.75" customHeight="1" s="36"/>
    <row r="500" ht="15.75" customHeight="1" s="36"/>
    <row r="501" ht="15.75" customHeight="1" s="36"/>
    <row r="502" ht="15.75" customHeight="1" s="36"/>
    <row r="503" ht="15.75" customHeight="1" s="36"/>
    <row r="504" ht="15.75" customHeight="1" s="36"/>
    <row r="505" ht="15.75" customHeight="1" s="36"/>
    <row r="506" ht="15.75" customHeight="1" s="36"/>
    <row r="507" ht="15.75" customHeight="1" s="36"/>
    <row r="508" ht="15.75" customHeight="1" s="36"/>
    <row r="509" ht="15.75" customHeight="1" s="36"/>
    <row r="510" ht="15.75" customHeight="1" s="36"/>
    <row r="511" ht="15.75" customHeight="1" s="36"/>
    <row r="512" ht="15.75" customHeight="1" s="36"/>
    <row r="513" ht="15.75" customHeight="1" s="36"/>
    <row r="514" ht="15.75" customHeight="1" s="36"/>
    <row r="515" ht="15.75" customHeight="1" s="36"/>
    <row r="516" ht="15.75" customHeight="1" s="36"/>
    <row r="517" ht="15.75" customHeight="1" s="36"/>
    <row r="518" ht="15.75" customHeight="1" s="36"/>
    <row r="519" ht="15.75" customHeight="1" s="36"/>
    <row r="520" ht="15.75" customHeight="1" s="36"/>
    <row r="521" ht="15.75" customHeight="1" s="36"/>
    <row r="522" ht="15.75" customHeight="1" s="36"/>
    <row r="523" ht="15.75" customHeight="1" s="36"/>
    <row r="524" ht="15.75" customHeight="1" s="36"/>
    <row r="525" ht="15.75" customHeight="1" s="36"/>
    <row r="526" ht="15.75" customHeight="1" s="36"/>
    <row r="527" ht="15.75" customHeight="1" s="36"/>
    <row r="528" ht="15.75" customHeight="1" s="36"/>
    <row r="529" ht="15.75" customHeight="1" s="36"/>
    <row r="530" ht="15.75" customHeight="1" s="36"/>
    <row r="531" ht="15.75" customHeight="1" s="36"/>
    <row r="532" ht="15.75" customHeight="1" s="36"/>
    <row r="533" ht="15.75" customHeight="1" s="36"/>
    <row r="534" ht="15.75" customHeight="1" s="36"/>
    <row r="535" ht="15.75" customHeight="1" s="36"/>
    <row r="536" ht="15.75" customHeight="1" s="36"/>
    <row r="537" ht="15.75" customHeight="1" s="36"/>
    <row r="538" ht="15.75" customHeight="1" s="36"/>
    <row r="539" ht="15.75" customHeight="1" s="36"/>
    <row r="540" ht="15.75" customHeight="1" s="36"/>
    <row r="541" ht="15.75" customHeight="1" s="36"/>
    <row r="542" ht="15.75" customHeight="1" s="36"/>
    <row r="543" ht="15.75" customHeight="1" s="36"/>
    <row r="544" ht="15.75" customHeight="1" s="36"/>
    <row r="545" ht="15.75" customHeight="1" s="36"/>
    <row r="546" ht="15.75" customHeight="1" s="36"/>
    <row r="547" ht="15.75" customHeight="1" s="36"/>
    <row r="548" ht="15.75" customHeight="1" s="36"/>
    <row r="549" ht="15.75" customHeight="1" s="36"/>
    <row r="550" ht="15.75" customHeight="1" s="36"/>
    <row r="551" ht="15.75" customHeight="1" s="36"/>
    <row r="552" ht="15.75" customHeight="1" s="36"/>
    <row r="553" ht="15.75" customHeight="1" s="36"/>
    <row r="554" ht="15.75" customHeight="1" s="36"/>
    <row r="555" ht="15.75" customHeight="1" s="36"/>
    <row r="556" ht="15.75" customHeight="1" s="36"/>
    <row r="557" ht="15.75" customHeight="1" s="36"/>
    <row r="558" ht="15.75" customHeight="1" s="36"/>
    <row r="559" ht="15.75" customHeight="1" s="36"/>
    <row r="560" ht="15.75" customHeight="1" s="36"/>
    <row r="561" ht="15.75" customHeight="1" s="36"/>
    <row r="562" ht="15.75" customHeight="1" s="36"/>
    <row r="563" ht="15.75" customHeight="1" s="36"/>
    <row r="564" ht="15.75" customHeight="1" s="36"/>
    <row r="565" ht="15.75" customHeight="1" s="36"/>
    <row r="566" ht="15.75" customHeight="1" s="36"/>
    <row r="567" ht="15.75" customHeight="1" s="36"/>
    <row r="568" ht="15.75" customHeight="1" s="36"/>
    <row r="569" ht="15.75" customHeight="1" s="36"/>
    <row r="570" ht="15.75" customHeight="1" s="36"/>
    <row r="571" ht="15.75" customHeight="1" s="36"/>
    <row r="572" ht="15.75" customHeight="1" s="36"/>
    <row r="573" ht="15.75" customHeight="1" s="36"/>
    <row r="574" ht="15.75" customHeight="1" s="36"/>
    <row r="575" ht="15.75" customHeight="1" s="36"/>
    <row r="576" ht="15.75" customHeight="1" s="36"/>
    <row r="577" ht="15.75" customHeight="1" s="36"/>
    <row r="578" ht="15.75" customHeight="1" s="36"/>
    <row r="579" ht="15.75" customHeight="1" s="36"/>
    <row r="580" ht="15.75" customHeight="1" s="36"/>
    <row r="581" ht="15.75" customHeight="1" s="36"/>
    <row r="582" ht="15.75" customHeight="1" s="36"/>
    <row r="583" ht="15.75" customHeight="1" s="36"/>
    <row r="584" ht="15.75" customHeight="1" s="36"/>
    <row r="585" ht="15.75" customHeight="1" s="36"/>
    <row r="586" ht="15.75" customHeight="1" s="36"/>
    <row r="587" ht="15.75" customHeight="1" s="36"/>
    <row r="588" ht="15.75" customHeight="1" s="36"/>
    <row r="589" ht="15.75" customHeight="1" s="36"/>
    <row r="590" ht="15.75" customHeight="1" s="36"/>
    <row r="591" ht="15.75" customHeight="1" s="36"/>
    <row r="592" ht="15.75" customHeight="1" s="36"/>
    <row r="593" ht="15.75" customHeight="1" s="36"/>
    <row r="594" ht="15.75" customHeight="1" s="36"/>
    <row r="595" ht="15.75" customHeight="1" s="36"/>
    <row r="596" ht="15.75" customHeight="1" s="36"/>
    <row r="597" ht="15.75" customHeight="1" s="36"/>
    <row r="598" ht="15.75" customHeight="1" s="36"/>
    <row r="599" ht="15.75" customHeight="1" s="36"/>
    <row r="600" ht="15.75" customHeight="1" s="36"/>
    <row r="601" ht="15.75" customHeight="1" s="36"/>
    <row r="602" ht="15.75" customHeight="1" s="36"/>
    <row r="603" ht="15.75" customHeight="1" s="36"/>
    <row r="604" ht="15.75" customHeight="1" s="36"/>
    <row r="605" ht="15.75" customHeight="1" s="36"/>
    <row r="606" ht="15.75" customHeight="1" s="36"/>
    <row r="607" ht="15.75" customHeight="1" s="36"/>
    <row r="608" ht="15.75" customHeight="1" s="36"/>
    <row r="609" ht="15.75" customHeight="1" s="36"/>
    <row r="610" ht="15.75" customHeight="1" s="36"/>
    <row r="611" ht="15.75" customHeight="1" s="36"/>
    <row r="612" ht="15.75" customHeight="1" s="36"/>
    <row r="613" ht="15.75" customHeight="1" s="36"/>
    <row r="614" ht="15.75" customHeight="1" s="36"/>
    <row r="615" ht="15.75" customHeight="1" s="36"/>
    <row r="616" ht="15.75" customHeight="1" s="36"/>
    <row r="617" ht="15.75" customHeight="1" s="36"/>
    <row r="618" ht="15.75" customHeight="1" s="36"/>
    <row r="619" ht="15.75" customHeight="1" s="36"/>
    <row r="620" ht="15.75" customHeight="1" s="36"/>
    <row r="621" ht="15.75" customHeight="1" s="36"/>
    <row r="622" ht="15.75" customHeight="1" s="36"/>
    <row r="623" ht="15.75" customHeight="1" s="36"/>
    <row r="624" ht="15.75" customHeight="1" s="36"/>
    <row r="625" ht="15.75" customHeight="1" s="36"/>
    <row r="626" ht="15.75" customHeight="1" s="36"/>
    <row r="627" ht="15.75" customHeight="1" s="36"/>
    <row r="628" ht="15.75" customHeight="1" s="36"/>
    <row r="629" ht="15.75" customHeight="1" s="36"/>
    <row r="630" ht="15.75" customHeight="1" s="36"/>
    <row r="631" ht="15.75" customHeight="1" s="36"/>
    <row r="632" ht="15.75" customHeight="1" s="36"/>
    <row r="633" ht="15.75" customHeight="1" s="36"/>
    <row r="634" ht="15.75" customHeight="1" s="36"/>
    <row r="635" ht="15.75" customHeight="1" s="36"/>
    <row r="636" ht="15.75" customHeight="1" s="36"/>
    <row r="637" ht="15.75" customHeight="1" s="36"/>
    <row r="638" ht="15.75" customHeight="1" s="36"/>
    <row r="639" ht="15.75" customHeight="1" s="36"/>
    <row r="640" ht="15.75" customHeight="1" s="36"/>
    <row r="641" ht="15.75" customHeight="1" s="36"/>
    <row r="642" ht="15.75" customHeight="1" s="36"/>
    <row r="643" ht="15.75" customHeight="1" s="36"/>
    <row r="644" ht="15.75" customHeight="1" s="36"/>
    <row r="645" ht="15.75" customHeight="1" s="36"/>
    <row r="646" ht="15.75" customHeight="1" s="36"/>
    <row r="647" ht="15.75" customHeight="1" s="36"/>
    <row r="648" ht="15.75" customHeight="1" s="36"/>
    <row r="649" ht="15.75" customHeight="1" s="36"/>
    <row r="650" ht="15.75" customHeight="1" s="36"/>
    <row r="651" ht="15.75" customHeight="1" s="36"/>
    <row r="652" ht="15.75" customHeight="1" s="36"/>
    <row r="653" ht="15.75" customHeight="1" s="36"/>
    <row r="654" ht="15.75" customHeight="1" s="36"/>
    <row r="655" ht="15.75" customHeight="1" s="36"/>
    <row r="656" ht="15.75" customHeight="1" s="36"/>
    <row r="657" ht="15.75" customHeight="1" s="36"/>
    <row r="658" ht="15.75" customHeight="1" s="36"/>
    <row r="659" ht="15.75" customHeight="1" s="36"/>
    <row r="660" ht="15.75" customHeight="1" s="36"/>
    <row r="661" ht="15.75" customHeight="1" s="36"/>
    <row r="662" ht="15.75" customHeight="1" s="36"/>
    <row r="663" ht="15.75" customHeight="1" s="36"/>
    <row r="664" ht="15.75" customHeight="1" s="36"/>
    <row r="665" ht="15.75" customHeight="1" s="36"/>
    <row r="666" ht="15.75" customHeight="1" s="36"/>
    <row r="667" ht="15.75" customHeight="1" s="36"/>
    <row r="668" ht="15.75" customHeight="1" s="36"/>
    <row r="669" ht="15.75" customHeight="1" s="36"/>
    <row r="670" ht="15.75" customHeight="1" s="36"/>
    <row r="671" ht="15.75" customHeight="1" s="36"/>
    <row r="672" ht="15.75" customHeight="1" s="36"/>
    <row r="673" ht="15.75" customHeight="1" s="36"/>
    <row r="674" ht="15.75" customHeight="1" s="36"/>
    <row r="675" ht="15.75" customHeight="1" s="36"/>
    <row r="676" ht="15.75" customHeight="1" s="36"/>
    <row r="677" ht="15.75" customHeight="1" s="36"/>
    <row r="678" ht="15.75" customHeight="1" s="36"/>
    <row r="679" ht="15.75" customHeight="1" s="36"/>
    <row r="680" ht="15.75" customHeight="1" s="36"/>
    <row r="681" ht="15.75" customHeight="1" s="36"/>
    <row r="682" ht="15.75" customHeight="1" s="36"/>
    <row r="683" ht="15.75" customHeight="1" s="36"/>
    <row r="684" ht="15.75" customHeight="1" s="36"/>
    <row r="685" ht="15.75" customHeight="1" s="36"/>
    <row r="686" ht="15.75" customHeight="1" s="36"/>
    <row r="687" ht="15.75" customHeight="1" s="36"/>
    <row r="688" ht="15.75" customHeight="1" s="36"/>
    <row r="689" ht="15.75" customHeight="1" s="36"/>
    <row r="690" ht="15.75" customHeight="1" s="36"/>
    <row r="691" ht="15.75" customHeight="1" s="36"/>
    <row r="692" ht="15.75" customHeight="1" s="36"/>
    <row r="693" ht="15.75" customHeight="1" s="36"/>
    <row r="694" ht="15.75" customHeight="1" s="36"/>
    <row r="695" ht="15.75" customHeight="1" s="36"/>
    <row r="696" ht="15.75" customHeight="1" s="36"/>
    <row r="697" ht="15.75" customHeight="1" s="36"/>
    <row r="698" ht="15.75" customHeight="1" s="36"/>
    <row r="699" ht="15.75" customHeight="1" s="36"/>
    <row r="700" ht="15.75" customHeight="1" s="36"/>
    <row r="701" ht="15.75" customHeight="1" s="36"/>
    <row r="702" ht="15.75" customHeight="1" s="36"/>
    <row r="703" ht="15.75" customHeight="1" s="36"/>
    <row r="704" ht="15.75" customHeight="1" s="36"/>
    <row r="705" ht="15.75" customHeight="1" s="36"/>
    <row r="706" ht="15.75" customHeight="1" s="36"/>
    <row r="707" ht="15.75" customHeight="1" s="36"/>
    <row r="708" ht="15.75" customHeight="1" s="36"/>
    <row r="709" ht="15.75" customHeight="1" s="36"/>
    <row r="710" ht="15.75" customHeight="1" s="36"/>
    <row r="711" ht="15.75" customHeight="1" s="36"/>
    <row r="712" ht="15.75" customHeight="1" s="36"/>
    <row r="713" ht="15.75" customHeight="1" s="36"/>
    <row r="714" ht="15.75" customHeight="1" s="36"/>
    <row r="715" ht="15.75" customHeight="1" s="36"/>
    <row r="716" ht="15.75" customHeight="1" s="36"/>
    <row r="717" ht="15.75" customHeight="1" s="36"/>
    <row r="718" ht="15.75" customHeight="1" s="36"/>
    <row r="719" ht="15.75" customHeight="1" s="36"/>
    <row r="720" ht="15.75" customHeight="1" s="36"/>
    <row r="721" ht="15.75" customHeight="1" s="36"/>
    <row r="722" ht="15.75" customHeight="1" s="36"/>
    <row r="723" ht="15.75" customHeight="1" s="36"/>
    <row r="724" ht="15.75" customHeight="1" s="36"/>
    <row r="725" ht="15.75" customHeight="1" s="36"/>
    <row r="726" ht="15.75" customHeight="1" s="36"/>
    <row r="727" ht="15.75" customHeight="1" s="36"/>
    <row r="728" ht="15.75" customHeight="1" s="36"/>
    <row r="729" ht="15.75" customHeight="1" s="36"/>
    <row r="730" ht="15.75" customHeight="1" s="36"/>
    <row r="731" ht="15.75" customHeight="1" s="36"/>
    <row r="732" ht="15.75" customHeight="1" s="36"/>
    <row r="733" ht="15.75" customHeight="1" s="36"/>
    <row r="734" ht="15.75" customHeight="1" s="36"/>
    <row r="735" ht="15.75" customHeight="1" s="36"/>
    <row r="736" ht="15.75" customHeight="1" s="36"/>
    <row r="737" ht="15.75" customHeight="1" s="36"/>
    <row r="738" ht="15.75" customHeight="1" s="36"/>
    <row r="739" ht="15.75" customHeight="1" s="36"/>
    <row r="740" ht="15.75" customHeight="1" s="36"/>
    <row r="741" ht="15.75" customHeight="1" s="36"/>
    <row r="742" ht="15.75" customHeight="1" s="36"/>
    <row r="743" ht="15.75" customHeight="1" s="36"/>
    <row r="744" ht="15.75" customHeight="1" s="36"/>
    <row r="745" ht="15.75" customHeight="1" s="36"/>
    <row r="746" ht="15.75" customHeight="1" s="36"/>
    <row r="747" ht="15.75" customHeight="1" s="36"/>
    <row r="748" ht="15.75" customHeight="1" s="36"/>
    <row r="749" ht="15.75" customHeight="1" s="36"/>
    <row r="750" ht="15.75" customHeight="1" s="36"/>
    <row r="751" ht="15.75" customHeight="1" s="36"/>
    <row r="752" ht="15.75" customHeight="1" s="36"/>
    <row r="753" ht="15.75" customHeight="1" s="36"/>
    <row r="754" ht="15.75" customHeight="1" s="36"/>
    <row r="755" ht="15.75" customHeight="1" s="36"/>
    <row r="756" ht="15.75" customHeight="1" s="36"/>
    <row r="757" ht="15.75" customHeight="1" s="36"/>
    <row r="758" ht="15.75" customHeight="1" s="36"/>
    <row r="759" ht="15.75" customHeight="1" s="36"/>
    <row r="760" ht="15.75" customHeight="1" s="36"/>
    <row r="761" ht="15.75" customHeight="1" s="36"/>
    <row r="762" ht="15.75" customHeight="1" s="36"/>
    <row r="763" ht="15.75" customHeight="1" s="36"/>
    <row r="764" ht="15.75" customHeight="1" s="36"/>
    <row r="765" ht="15.75" customHeight="1" s="36"/>
    <row r="766" ht="15.75" customHeight="1" s="36"/>
    <row r="767" ht="15.75" customHeight="1" s="36"/>
    <row r="768" ht="15.75" customHeight="1" s="36"/>
    <row r="769" ht="15.75" customHeight="1" s="36"/>
    <row r="770" ht="15.75" customHeight="1" s="36"/>
    <row r="771" ht="15.75" customHeight="1" s="36"/>
    <row r="772" ht="15.75" customHeight="1" s="36"/>
    <row r="773" ht="15.75" customHeight="1" s="36"/>
    <row r="774" ht="15.75" customHeight="1" s="36"/>
    <row r="775" ht="15.75" customHeight="1" s="36"/>
    <row r="776" ht="15.75" customHeight="1" s="36"/>
    <row r="777" ht="15.75" customHeight="1" s="36"/>
    <row r="778" ht="15.75" customHeight="1" s="36"/>
    <row r="779" ht="15.75" customHeight="1" s="36"/>
    <row r="780" ht="15.75" customHeight="1" s="36"/>
    <row r="781" ht="15.75" customHeight="1" s="36"/>
    <row r="782" ht="15.75" customHeight="1" s="36"/>
    <row r="783" ht="15.75" customHeight="1" s="36"/>
    <row r="784" ht="15.75" customHeight="1" s="36"/>
    <row r="785" ht="15.75" customHeight="1" s="36"/>
    <row r="786" ht="15.75" customHeight="1" s="36"/>
    <row r="787" ht="15.75" customHeight="1" s="36"/>
    <row r="788" ht="15.75" customHeight="1" s="36"/>
    <row r="789" ht="15.75" customHeight="1" s="36"/>
    <row r="790" ht="15.75" customHeight="1" s="36"/>
    <row r="791" ht="15.75" customHeight="1" s="36"/>
    <row r="792" ht="15.75" customHeight="1" s="36"/>
    <row r="793" ht="15.75" customHeight="1" s="36"/>
    <row r="794" ht="15.75" customHeight="1" s="36"/>
    <row r="795" ht="15.75" customHeight="1" s="36"/>
    <row r="796" ht="15.75" customHeight="1" s="36"/>
    <row r="797" ht="15.75" customHeight="1" s="36"/>
    <row r="798" ht="15.75" customHeight="1" s="36"/>
    <row r="799" ht="15.75" customHeight="1" s="36"/>
    <row r="800" ht="15.75" customHeight="1" s="36"/>
    <row r="801" ht="15.75" customHeight="1" s="36"/>
    <row r="802" ht="15.75" customHeight="1" s="36"/>
    <row r="803" ht="15.75" customHeight="1" s="36"/>
    <row r="804" ht="15.75" customHeight="1" s="36"/>
    <row r="805" ht="15.75" customHeight="1" s="36"/>
    <row r="806" ht="15.75" customHeight="1" s="36"/>
    <row r="807" ht="15.75" customHeight="1" s="36"/>
    <row r="808" ht="15.75" customHeight="1" s="36"/>
    <row r="809" ht="15.75" customHeight="1" s="36"/>
    <row r="810" ht="15.75" customHeight="1" s="36"/>
    <row r="811" ht="15.75" customHeight="1" s="36"/>
    <row r="812" ht="15.75" customHeight="1" s="36"/>
    <row r="813" ht="15.75" customHeight="1" s="36"/>
    <row r="814" ht="15.75" customHeight="1" s="36"/>
    <row r="815" ht="15.75" customHeight="1" s="36"/>
    <row r="816" ht="15.75" customHeight="1" s="36"/>
    <row r="817" ht="15.75" customHeight="1" s="36"/>
    <row r="818" ht="15.75" customHeight="1" s="36"/>
    <row r="819" ht="15.75" customHeight="1" s="36"/>
    <row r="820" ht="15.75" customHeight="1" s="36"/>
    <row r="821" ht="15.75" customHeight="1" s="36"/>
    <row r="822" ht="15.75" customHeight="1" s="36"/>
    <row r="823" ht="15.75" customHeight="1" s="36"/>
    <row r="824" ht="15.75" customHeight="1" s="36"/>
    <row r="825" ht="15.75" customHeight="1" s="36"/>
    <row r="826" ht="15.75" customHeight="1" s="36"/>
    <row r="827" ht="15.75" customHeight="1" s="36"/>
    <row r="828" ht="15.75" customHeight="1" s="36"/>
    <row r="829" ht="15.75" customHeight="1" s="36"/>
    <row r="830" ht="15.75" customHeight="1" s="36"/>
    <row r="831" ht="15.75" customHeight="1" s="36"/>
    <row r="832" ht="15.75" customHeight="1" s="36"/>
    <row r="833" ht="15.75" customHeight="1" s="36"/>
    <row r="834" ht="15.75" customHeight="1" s="36"/>
    <row r="835" ht="15.75" customHeight="1" s="36"/>
    <row r="836" ht="15.75" customHeight="1" s="36"/>
    <row r="837" ht="15.75" customHeight="1" s="36"/>
    <row r="838" ht="15.75" customHeight="1" s="36"/>
    <row r="839" ht="15.75" customHeight="1" s="36"/>
    <row r="840" ht="15.75" customHeight="1" s="36"/>
    <row r="841" ht="15.75" customHeight="1" s="36"/>
    <row r="842" ht="15.75" customHeight="1" s="36"/>
    <row r="843" ht="15.75" customHeight="1" s="36"/>
    <row r="844" ht="15.75" customHeight="1" s="36"/>
    <row r="845" ht="15.75" customHeight="1" s="36"/>
    <row r="846" ht="15.75" customHeight="1" s="36"/>
    <row r="847" ht="15.75" customHeight="1" s="36"/>
    <row r="848" ht="15.75" customHeight="1" s="36"/>
    <row r="849" ht="15.75" customHeight="1" s="36"/>
    <row r="850" ht="15.75" customHeight="1" s="36"/>
    <row r="851" ht="15.75" customHeight="1" s="36"/>
    <row r="852" ht="15.75" customHeight="1" s="36"/>
    <row r="853" ht="15.75" customHeight="1" s="36"/>
    <row r="854" ht="15.75" customHeight="1" s="36"/>
    <row r="855" ht="15.75" customHeight="1" s="36"/>
    <row r="856" ht="15.75" customHeight="1" s="36"/>
    <row r="857" ht="15.75" customHeight="1" s="36"/>
    <row r="858" ht="15.75" customHeight="1" s="36"/>
    <row r="859" ht="15.75" customHeight="1" s="36"/>
    <row r="860" ht="15.75" customHeight="1" s="36"/>
    <row r="861" ht="15.75" customHeight="1" s="36"/>
    <row r="862" ht="15.75" customHeight="1" s="36"/>
    <row r="863" ht="15.75" customHeight="1" s="36"/>
    <row r="864" ht="15.75" customHeight="1" s="36"/>
    <row r="865" ht="15.75" customHeight="1" s="36"/>
    <row r="866" ht="15.75" customHeight="1" s="36"/>
    <row r="867" ht="15.75" customHeight="1" s="36"/>
    <row r="868" ht="15.75" customHeight="1" s="36"/>
    <row r="869" ht="15.75" customHeight="1" s="36"/>
    <row r="870" ht="15.75" customHeight="1" s="36"/>
    <row r="871" ht="15.75" customHeight="1" s="36"/>
    <row r="872" ht="15.75" customHeight="1" s="36"/>
    <row r="873" ht="15.75" customHeight="1" s="36"/>
    <row r="874" ht="15.75" customHeight="1" s="36"/>
    <row r="875" ht="15.75" customHeight="1" s="36"/>
    <row r="876" ht="15.75" customHeight="1" s="36"/>
    <row r="877" ht="15.75" customHeight="1" s="36"/>
    <row r="878" ht="15.75" customHeight="1" s="36"/>
    <row r="879" ht="15.75" customHeight="1" s="36"/>
    <row r="880" ht="15.75" customHeight="1" s="36"/>
    <row r="881" ht="15.75" customHeight="1" s="36"/>
    <row r="882" ht="15.75" customHeight="1" s="36"/>
    <row r="883" ht="15.75" customHeight="1" s="36"/>
    <row r="884" ht="15.75" customHeight="1" s="36"/>
    <row r="885" ht="15.75" customHeight="1" s="36"/>
    <row r="886" ht="15.75" customHeight="1" s="36"/>
    <row r="887" ht="15.75" customHeight="1" s="36"/>
    <row r="888" ht="15.75" customHeight="1" s="36"/>
    <row r="889" ht="15.75" customHeight="1" s="36"/>
    <row r="890" ht="15.75" customHeight="1" s="36"/>
    <row r="891" ht="15.75" customHeight="1" s="36"/>
    <row r="892" ht="15.75" customHeight="1" s="36"/>
    <row r="893" ht="15.75" customHeight="1" s="36"/>
    <row r="894" ht="15.75" customHeight="1" s="36"/>
    <row r="895" ht="15.75" customHeight="1" s="36"/>
    <row r="896" ht="15.75" customHeight="1" s="36"/>
    <row r="897" ht="15.75" customHeight="1" s="36"/>
    <row r="898" ht="15.75" customHeight="1" s="36"/>
    <row r="899" ht="15.75" customHeight="1" s="36"/>
    <row r="900" ht="15.75" customHeight="1" s="36"/>
    <row r="901" ht="15.75" customHeight="1" s="36"/>
    <row r="902" ht="15.75" customHeight="1" s="36"/>
    <row r="903" ht="15.75" customHeight="1" s="36"/>
    <row r="904" ht="15.75" customHeight="1" s="36"/>
    <row r="905" ht="15.75" customHeight="1" s="36"/>
    <row r="906" ht="15.75" customHeight="1" s="36"/>
    <row r="907" ht="15.75" customHeight="1" s="36"/>
    <row r="908" ht="15.75" customHeight="1" s="36"/>
    <row r="909" ht="15.75" customHeight="1" s="36"/>
    <row r="910" ht="15.75" customHeight="1" s="36"/>
    <row r="911" ht="15.75" customHeight="1" s="36"/>
    <row r="912" ht="15.75" customHeight="1" s="36"/>
    <row r="913" ht="15.75" customHeight="1" s="36"/>
    <row r="914" ht="15.75" customHeight="1" s="36"/>
    <row r="915" ht="15.75" customHeight="1" s="36"/>
    <row r="916" ht="15.75" customHeight="1" s="36"/>
    <row r="917" ht="15.75" customHeight="1" s="36"/>
    <row r="918" ht="15.75" customHeight="1" s="36"/>
    <row r="919" ht="15.75" customHeight="1" s="36"/>
    <row r="920" ht="15.75" customHeight="1" s="36"/>
    <row r="921" ht="15.75" customHeight="1" s="36"/>
    <row r="922" ht="15.75" customHeight="1" s="36"/>
    <row r="923" ht="15.75" customHeight="1" s="36"/>
    <row r="924" ht="15.75" customHeight="1" s="36"/>
    <row r="925" ht="15.75" customHeight="1" s="36"/>
    <row r="926" ht="15.75" customHeight="1" s="36"/>
    <row r="927" ht="15.75" customHeight="1" s="36"/>
    <row r="928" ht="15.75" customHeight="1" s="36"/>
    <row r="929" ht="15.75" customHeight="1" s="36"/>
    <row r="930" ht="15.75" customHeight="1" s="36"/>
    <row r="931" ht="15.75" customHeight="1" s="36"/>
    <row r="932" ht="15.75" customHeight="1" s="36"/>
    <row r="933" ht="15.75" customHeight="1" s="36"/>
    <row r="934" ht="15.75" customHeight="1" s="36"/>
    <row r="935" ht="15.75" customHeight="1" s="36"/>
    <row r="936" ht="15.75" customHeight="1" s="36"/>
    <row r="937" ht="15.75" customHeight="1" s="36"/>
    <row r="938" ht="15.75" customHeight="1" s="36"/>
    <row r="939" ht="15.75" customHeight="1" s="36"/>
    <row r="940" ht="15.75" customHeight="1" s="36"/>
    <row r="941" ht="15.75" customHeight="1" s="36"/>
    <row r="942" ht="15.75" customHeight="1" s="36"/>
    <row r="943" ht="15.75" customHeight="1" s="36"/>
    <row r="944" ht="15.75" customHeight="1" s="36"/>
    <row r="945" ht="15.75" customHeight="1" s="36"/>
    <row r="946" ht="15.75" customHeight="1" s="36"/>
    <row r="947" ht="15.75" customHeight="1" s="36"/>
    <row r="948" ht="15.75" customHeight="1" s="36"/>
    <row r="949" ht="15.75" customHeight="1" s="36"/>
    <row r="950" ht="15.75" customHeight="1" s="36"/>
    <row r="951" ht="15.75" customHeight="1" s="36"/>
    <row r="952" ht="15.75" customHeight="1" s="36"/>
    <row r="953" ht="15.75" customHeight="1" s="36"/>
    <row r="954" ht="15.75" customHeight="1" s="36"/>
    <row r="955" ht="15.75" customHeight="1" s="36"/>
    <row r="956" ht="15.75" customHeight="1" s="36"/>
    <row r="957" ht="15.75" customHeight="1" s="36"/>
    <row r="958" ht="15.75" customHeight="1" s="36"/>
    <row r="959" ht="15.75" customHeight="1" s="36"/>
    <row r="960" ht="15.75" customHeight="1" s="36"/>
    <row r="961" ht="15.75" customHeight="1" s="36"/>
    <row r="962" ht="15.75" customHeight="1" s="36"/>
    <row r="963" ht="15.75" customHeight="1" s="36"/>
    <row r="964" ht="15.75" customHeight="1" s="36"/>
    <row r="965" ht="15.75" customHeight="1" s="36"/>
    <row r="966" ht="15.75" customHeight="1" s="36"/>
    <row r="967" ht="15.75" customHeight="1" s="36"/>
    <row r="968" ht="15.75" customHeight="1" s="36"/>
    <row r="969" ht="15.75" customHeight="1" s="36"/>
    <row r="970" ht="15.75" customHeight="1" s="36"/>
    <row r="971" ht="15.75" customHeight="1" s="36"/>
    <row r="972" ht="15.75" customHeight="1" s="36"/>
    <row r="973" ht="15.75" customHeight="1" s="36"/>
    <row r="974" ht="15.75" customHeight="1" s="36"/>
    <row r="975" ht="15.75" customHeight="1" s="36"/>
    <row r="976" ht="15.75" customHeight="1" s="36"/>
    <row r="977" ht="15.75" customHeight="1" s="36"/>
    <row r="978" ht="15.75" customHeight="1" s="36"/>
    <row r="979" ht="15.75" customHeight="1" s="36"/>
    <row r="980" ht="15.75" customHeight="1" s="36"/>
    <row r="981" ht="15.75" customHeight="1" s="36"/>
    <row r="982" ht="15.75" customHeight="1" s="36"/>
    <row r="983" ht="15.75" customHeight="1" s="36"/>
    <row r="984" ht="15.75" customHeight="1" s="36"/>
    <row r="985" ht="15.75" customHeight="1" s="36"/>
    <row r="986" ht="15.75" customHeight="1" s="36"/>
    <row r="987" ht="15.75" customHeight="1" s="36"/>
    <row r="988" ht="15.75" customHeight="1" s="36"/>
    <row r="989" ht="15.75" customHeight="1" s="36"/>
    <row r="990" ht="15.75" customHeight="1" s="36"/>
    <row r="991" ht="15.75" customHeight="1" s="36"/>
    <row r="992" ht="15.75" customHeight="1" s="36"/>
    <row r="993" ht="15.75" customHeight="1" s="36"/>
    <row r="994" ht="15.75" customHeight="1" s="36"/>
    <row r="995" ht="15.75" customHeight="1" s="36"/>
    <row r="996" ht="15.75" customHeight="1" s="36"/>
    <row r="997" ht="15.75" customHeight="1" s="36"/>
    <row r="998" ht="15.75" customHeight="1" s="36"/>
    <row r="999" ht="15.75" customHeight="1" s="36"/>
    <row r="1000" ht="15.75" customHeight="1" s="36"/>
  </sheetData>
  <mergeCells count="2">
    <mergeCell ref="A2:H2"/>
    <mergeCell ref="A1:H1"/>
  </mergeCells>
  <pageMargins left="0.7" right="0.7" top="0.75" bottom="0.75" header="0" footer="0"/>
  <pageSetup orientation="landscape"/>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openpyxl</dc:creator>
  <dcterms:created xmlns:dcterms="http://purl.org/dc/terms/" xmlns:xsi="http://www.w3.org/2001/XMLSchema-instance" xsi:type="dcterms:W3CDTF">2026-10-29T17:57:41Z</dcterms:created>
  <dcterms:modified xmlns:dcterms="http://purl.org/dc/terms/" xmlns:xsi="http://www.w3.org/2001/XMLSchema-instance" xsi:type="dcterms:W3CDTF">2026-10-29T17:57:42Z</dcterms:modified>
</cp:coreProperties>
</file>