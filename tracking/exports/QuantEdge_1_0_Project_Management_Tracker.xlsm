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Dashboard" sheetId="1" state="visible" r:id="rId1"/>
    <sheet xmlns:r="http://schemas.openxmlformats.org/officeDocument/2006/relationships" name="Main Tasks" sheetId="2" state="visible" r:id="rId2"/>
    <sheet xmlns:r="http://schemas.openxmlformats.org/officeDocument/2006/relationships" name="Subtasks" sheetId="3" state="visible" r:id="rId3"/>
    <sheet xmlns:r="http://schemas.openxmlformats.org/officeDocument/2006/relationships" name="2-Week Plan" sheetId="4" state="visible" r:id="rId4"/>
    <sheet xmlns:r="http://schemas.openxmlformats.org/officeDocument/2006/relationships" name="How to Use"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1">
    <font>
      <name val="Carlito"/>
      <color rgb="FF000000"/>
      <sz val="11"/>
      <scheme val="minor"/>
    </font>
    <font>
      <name val="Carlito"/>
      <b val="1"/>
      <color rgb="FFFFFFFF"/>
      <sz val="19"/>
    </font>
    <font>
      <name val="Carlito"/>
      <color rgb="FF1D3249"/>
      <sz val="11"/>
    </font>
    <font>
      <name val="Carlito"/>
      <b val="1"/>
      <color rgb="FFFFFFFF"/>
      <sz val="11"/>
    </font>
    <font>
      <name val="Carlito"/>
      <b val="1"/>
      <color rgb="FF1D3249"/>
      <sz val="11"/>
    </font>
    <font>
      <name val="Carlito"/>
      <color theme="1"/>
      <sz val="11"/>
    </font>
    <font>
      <name val="Carlito"/>
      <b val="1"/>
      <color rgb="FF2465A1"/>
      <sz val="10"/>
    </font>
    <font>
      <name val="Carlito"/>
      <color rgb="FF1D3249"/>
      <sz val="10"/>
    </font>
    <font>
      <name val="Carlito"/>
      <b val="1"/>
      <color rgb="FF2465A1"/>
      <sz val="15"/>
    </font>
    <font>
      <name val="Carlito"/>
      <color theme="1"/>
      <scheme val="minor"/>
    </font>
    <font>
      <name val="Carlito"/>
      <b val="1"/>
      <color rgb="FFFFFFFF"/>
      <sz val="12"/>
    </font>
  </fonts>
  <fills count="10">
    <fill>
      <patternFill/>
    </fill>
    <fill>
      <patternFill patternType="lightGray"/>
    </fill>
    <fill>
      <patternFill patternType="solid">
        <fgColor rgb="FF18304F"/>
        <bgColor rgb="FF18304F"/>
      </patternFill>
    </fill>
    <fill>
      <patternFill patternType="solid">
        <fgColor rgb="FFE9F3FC"/>
        <bgColor rgb="FFE9F3FC"/>
      </patternFill>
    </fill>
    <fill>
      <patternFill patternType="solid">
        <fgColor rgb="FF123047"/>
        <bgColor rgb="FF123047"/>
      </patternFill>
    </fill>
    <fill>
      <patternFill patternType="solid">
        <fgColor rgb="FFFFFFFF"/>
        <bgColor rgb="FFFFFFFF"/>
      </patternFill>
    </fill>
    <fill>
      <patternFill patternType="solid">
        <fgColor rgb="FFEAF5F3"/>
        <bgColor rgb="FFEAF5F3"/>
      </patternFill>
    </fill>
    <fill>
      <patternFill patternType="solid">
        <fgColor rgb="FFF0F5FA"/>
        <bgColor rgb="FFF0F5FA"/>
      </patternFill>
    </fill>
    <fill>
      <patternFill patternType="solid">
        <fgColor rgb="FFDFF0EC"/>
        <bgColor rgb="FFDFF0EC"/>
      </patternFill>
    </fill>
    <fill>
      <patternFill patternType="solid">
        <fgColor rgb="FFFFF0D7"/>
        <bgColor rgb="FFFFF0D7"/>
      </patternFill>
    </fill>
  </fills>
  <borders count="1">
    <border/>
  </borders>
  <cellStyleXfs count="1">
    <xf numFmtId="0" fontId="0" fillId="0" borderId="0"/>
  </cellStyleXfs>
  <cellXfs count="37">
    <xf numFmtId="0" fontId="0" fillId="0" borderId="0" applyAlignment="1" pivotButton="0" quotePrefix="0" xfId="0">
      <alignment vertical="bottom"/>
    </xf>
    <xf numFmtId="0" fontId="1" fillId="2" borderId="0" applyAlignment="1" pivotButton="0" quotePrefix="0" xfId="0">
      <alignment vertical="center"/>
    </xf>
    <xf numFmtId="0" fontId="2" fillId="3" borderId="0" applyAlignment="1" pivotButton="0" quotePrefix="0" xfId="0">
      <alignment vertical="center"/>
    </xf>
    <xf numFmtId="0" fontId="3" fillId="2" borderId="0" applyAlignment="1" pivotButton="0" quotePrefix="0" xfId="0">
      <alignment vertical="center" wrapText="1"/>
    </xf>
    <xf numFmtId="0" fontId="4" fillId="0" borderId="0" pivotButton="0" quotePrefix="0" xfId="0"/>
    <xf numFmtId="0" fontId="2" fillId="3" borderId="0" applyAlignment="1" pivotButton="0" quotePrefix="0" xfId="0">
      <alignment vertical="center"/>
    </xf>
    <xf numFmtId="0" fontId="5" fillId="0" borderId="0" applyAlignment="1" pivotButton="0" quotePrefix="0" xfId="0">
      <alignment vertical="center" wrapText="1"/>
    </xf>
    <xf numFmtId="0" fontId="5" fillId="0" borderId="0" applyAlignment="1" pivotButton="0" quotePrefix="0" xfId="0">
      <alignment vertical="center" wrapText="1"/>
    </xf>
    <xf numFmtId="0" fontId="6" fillId="0" borderId="0" applyAlignment="1" pivotButton="0" quotePrefix="0" xfId="0">
      <alignment vertical="center" wrapText="1"/>
    </xf>
    <xf numFmtId="0" fontId="7" fillId="0" borderId="0" applyAlignment="1" pivotButton="0" quotePrefix="0" xfId="0">
      <alignment vertical="center" wrapText="1"/>
    </xf>
    <xf numFmtId="0" fontId="3" fillId="2" borderId="0" pivotButton="0" quotePrefix="0" xfId="0"/>
    <xf numFmtId="0" fontId="5" fillId="3" borderId="0" applyAlignment="1" pivotButton="0" quotePrefix="0" xfId="0">
      <alignment wrapText="1"/>
    </xf>
    <xf numFmtId="0" fontId="8" fillId="3" borderId="0" applyAlignment="1" pivotButton="0" quotePrefix="0" xfId="0">
      <alignment vertical="center"/>
    </xf>
    <xf numFmtId="0" fontId="9" fillId="0" borderId="0" pivotButton="0" quotePrefix="0" xfId="0"/>
    <xf numFmtId="164" fontId="7" fillId="0" borderId="0" applyAlignment="1" pivotButton="0" quotePrefix="0" xfId="0">
      <alignment vertical="center" wrapText="1"/>
    </xf>
    <xf numFmtId="0" fontId="3" fillId="4" borderId="0" applyAlignment="1" pivotButton="0" quotePrefix="0" xfId="0">
      <alignment vertical="center" wrapText="1"/>
    </xf>
    <xf numFmtId="0" fontId="7" fillId="0" borderId="0" applyAlignment="1" pivotButton="0" quotePrefix="0" xfId="0">
      <alignment vertical="center" wrapText="1"/>
    </xf>
    <xf numFmtId="0" fontId="6" fillId="5" borderId="0" applyAlignment="1" pivotButton="0" quotePrefix="0" xfId="0">
      <alignment vertical="center" wrapText="1"/>
    </xf>
    <xf numFmtId="0" fontId="7" fillId="5" borderId="0" applyAlignment="1" pivotButton="0" quotePrefix="0" xfId="0">
      <alignment vertical="center" wrapText="1"/>
    </xf>
    <xf numFmtId="0" fontId="7" fillId="6" borderId="0" applyAlignment="1" pivotButton="0" quotePrefix="0" xfId="0">
      <alignment vertical="center" wrapText="1"/>
    </xf>
    <xf numFmtId="9" fontId="7" fillId="5" borderId="0" applyAlignment="1" pivotButton="0" quotePrefix="0" xfId="0">
      <alignment vertical="center" wrapText="1"/>
    </xf>
    <xf numFmtId="164" fontId="7" fillId="5" borderId="0" applyAlignment="1" pivotButton="0" quotePrefix="0" xfId="0">
      <alignment vertical="center" wrapText="1"/>
    </xf>
    <xf numFmtId="0" fontId="6" fillId="7" borderId="0" applyAlignment="1" pivotButton="0" quotePrefix="0" xfId="0">
      <alignment vertical="center" wrapText="1"/>
    </xf>
    <xf numFmtId="0" fontId="7" fillId="7" borderId="0" applyAlignment="1" pivotButton="0" quotePrefix="0" xfId="0">
      <alignment vertical="center" wrapText="1"/>
    </xf>
    <xf numFmtId="0" fontId="7" fillId="8" borderId="0" applyAlignment="1" pivotButton="0" quotePrefix="0" xfId="0">
      <alignment vertical="center" wrapText="1"/>
    </xf>
    <xf numFmtId="9" fontId="8" fillId="3" borderId="0" applyAlignment="1" pivotButton="0" quotePrefix="0" xfId="0">
      <alignment vertical="center"/>
    </xf>
    <xf numFmtId="0" fontId="10" fillId="2" borderId="0" pivotButton="0" quotePrefix="0" xfId="0"/>
    <xf numFmtId="0" fontId="3" fillId="2" borderId="0" applyAlignment="1" pivotButton="0" quotePrefix="0" xfId="0">
      <alignment vertical="center" wrapText="1"/>
    </xf>
    <xf numFmtId="0" fontId="5" fillId="0" borderId="0" applyAlignment="1" pivotButton="0" quotePrefix="0" xfId="0">
      <alignment wrapText="1"/>
    </xf>
    <xf numFmtId="0" fontId="2" fillId="9" borderId="0" pivotButton="0" quotePrefix="0" xfId="0"/>
    <xf numFmtId="9" fontId="7" fillId="7" borderId="0" applyAlignment="1" pivotButton="0" quotePrefix="0" xfId="0">
      <alignment vertical="center" wrapText="1"/>
    </xf>
    <xf numFmtId="164" fontId="7" fillId="7" borderId="0" applyAlignment="1" pivotButton="0" quotePrefix="0" xfId="0">
      <alignment vertical="center" wrapText="1"/>
    </xf>
    <xf numFmtId="0" fontId="5" fillId="8" borderId="0" applyAlignment="1" pivotButton="0" quotePrefix="0" xfId="0">
      <alignment vertical="center" wrapText="1"/>
    </xf>
    <xf numFmtId="0" fontId="5" fillId="5" borderId="0" applyAlignment="1" pivotButton="0" quotePrefix="0" xfId="0">
      <alignment vertical="center" wrapText="1"/>
    </xf>
    <xf numFmtId="0" fontId="5" fillId="6" borderId="0" applyAlignment="1" pivotButton="0" quotePrefix="0" xfId="0">
      <alignment vertical="center" wrapText="1"/>
    </xf>
    <xf numFmtId="0" fontId="5" fillId="7" borderId="0" applyAlignment="1" pivotButton="0" quotePrefix="0" xfId="0">
      <alignment vertical="center" wrapText="1"/>
    </xf>
    <xf numFmtId="0" fontId="0" fillId="0" borderId="0" pivotButton="0" quotePrefix="0" xfId="0"/>
  </cellXfs>
  <cellStyles count="1">
    <cellStyle name="Normal" xfId="0" builtinId="0"/>
  </cellStyles>
  <dxfs count="4">
    <dxf>
      <font/>
      <fill>
        <patternFill patternType="solid">
          <fgColor rgb="FFDDF3E6"/>
          <bgColor rgb="FFDDF3E6"/>
        </patternFill>
      </fill>
      <border/>
    </dxf>
    <dxf>
      <font/>
      <fill>
        <patternFill patternType="solid">
          <fgColor rgb="FFFBE5E5"/>
          <bgColor rgb="FFFBE5E5"/>
        </patternFill>
      </fill>
      <border/>
    </dxf>
    <dxf>
      <font/>
      <fill>
        <patternFill patternType="solid">
          <fgColor rgb="FFE9F3FC"/>
          <bgColor rgb="FFE9F3FC"/>
        </patternFill>
      </fill>
      <border/>
    </dxf>
    <dxf>
      <font/>
      <fill>
        <patternFill patternType="solid">
          <fgColor rgb="FFFFF0D7"/>
          <bgColor rgb="FFFFF0D7"/>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J31"/>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29" customWidth="1" style="36" min="2" max="2"/>
    <col width="20" customWidth="1" style="36" min="3" max="3"/>
    <col width="37" customWidth="1" style="36" min="4" max="4"/>
    <col width="17" customWidth="1" style="36" min="5" max="7"/>
    <col width="18" customWidth="1" style="36" min="8" max="10"/>
    <col width="8.630000000000001" customWidth="1" style="36" min="11" max="26"/>
  </cols>
  <sheetData>
    <row r="1" ht="45" customHeight="1" s="36">
      <c r="A1" s="1" t="inlineStr">
        <is>
          <t>QUANTEDGE 1.0 — TEAM PROJECT DASHBOARD</t>
        </is>
      </c>
    </row>
    <row r="2" ht="28.5" customHeight="1" s="36">
      <c r="A2" s="5" t="inlineStr">
        <is>
          <t>21 tasks | 240 subtasks | status and subtask progress</t>
        </is>
      </c>
    </row>
    <row r="3"/>
    <row r="4" ht="30.75" customHeight="1" s="36">
      <c r="A4" s="27" t="inlineStr">
        <is>
          <t>PROJECT INDICATOR</t>
        </is>
      </c>
      <c r="B4" s="27" t="inlineStr">
        <is>
          <t>VALUE</t>
        </is>
      </c>
      <c r="D4" s="27" t="inlineStr">
        <is>
          <t>TEAM MEMBER / GROUP</t>
        </is>
      </c>
      <c r="E4" s="27" t="inlineStr">
        <is>
          <t>MAIN TASKS</t>
        </is>
      </c>
      <c r="F4" s="27" t="inlineStr">
        <is>
          <t>DONE</t>
        </is>
      </c>
      <c r="G4" s="27" t="inlineStr">
        <is>
          <t>BLOCKED</t>
        </is>
      </c>
    </row>
    <row r="5" ht="31.5" customHeight="1" s="36">
      <c r="A5" s="4" t="inlineStr">
        <is>
          <t>Main tasks</t>
        </is>
      </c>
      <c r="B5" s="12">
        <f>COUNTA('Main Tasks'!$A$5:$A$400)</f>
        <v/>
      </c>
      <c r="D5" s="13" t="inlineStr">
        <is>
          <t>Malindu</t>
        </is>
      </c>
      <c r="E5" s="13">
        <f>COUNTIF('Main Tasks'!$E$5:$E$400,D5)</f>
        <v/>
      </c>
      <c r="F5" s="13">
        <f>COUNTIFS('Main Tasks'!$E$5:$E$400,D5,'Main Tasks'!$G$5:$G$400,"Done")</f>
        <v/>
      </c>
      <c r="G5" s="13">
        <f>COUNTIFS('Main Tasks'!$E$5:$E$400,D5,'Main Tasks'!$G$5:$G$400,"Blocked")</f>
        <v/>
      </c>
    </row>
    <row r="6" ht="31.5" customHeight="1" s="36">
      <c r="A6" s="4" t="inlineStr">
        <is>
          <t>Completed tasks</t>
        </is>
      </c>
      <c r="B6" s="12">
        <f>COUNTIF('Main Tasks'!$G$5:$G$400,"Done")</f>
        <v/>
      </c>
      <c r="D6" s="13" t="inlineStr">
        <is>
          <t>Raveena</t>
        </is>
      </c>
      <c r="E6" s="13">
        <f>COUNTIF('Main Tasks'!$E$5:$E$400,D6)</f>
        <v/>
      </c>
      <c r="F6" s="13">
        <f>COUNTIFS('Main Tasks'!$E$5:$E$400,D6,'Main Tasks'!$G$5:$G$400,"Done")</f>
        <v/>
      </c>
      <c r="G6" s="13">
        <f>COUNTIFS('Main Tasks'!$E$5:$E$400,D6,'Main Tasks'!$G$5:$G$400,"Blocked")</f>
        <v/>
      </c>
    </row>
    <row r="7" ht="31.5" customHeight="1" s="36">
      <c r="A7" s="4" t="inlineStr">
        <is>
          <t>In progress</t>
        </is>
      </c>
      <c r="B7" s="12">
        <f>COUNTIF('Main Tasks'!$G$5:$G$400,"In Progress")</f>
        <v/>
      </c>
      <c r="D7" s="13" t="inlineStr">
        <is>
          <t>Dewmini</t>
        </is>
      </c>
      <c r="E7" s="13">
        <f>COUNTIF('Main Tasks'!$E$5:$E$400,D7)</f>
        <v/>
      </c>
      <c r="F7" s="13">
        <f>COUNTIFS('Main Tasks'!$E$5:$E$400,D7,'Main Tasks'!$G$5:$G$400,"Done")</f>
        <v/>
      </c>
      <c r="G7" s="13">
        <f>COUNTIFS('Main Tasks'!$E$5:$E$400,D7,'Main Tasks'!$G$5:$G$400,"Blocked")</f>
        <v/>
      </c>
    </row>
    <row r="8" ht="31.5" customHeight="1" s="36">
      <c r="A8" s="4" t="inlineStr">
        <is>
          <t>Blocked tasks</t>
        </is>
      </c>
      <c r="B8" s="12">
        <f>COUNTIF('Main Tasks'!$G$5:$G$400,"Blocked")</f>
        <v/>
      </c>
      <c r="D8" s="13" t="inlineStr">
        <is>
          <t>Sujan</t>
        </is>
      </c>
      <c r="E8" s="13">
        <f>COUNTIF('Main Tasks'!$E$5:$E$400,D8)</f>
        <v/>
      </c>
      <c r="F8" s="13">
        <f>COUNTIFS('Main Tasks'!$E$5:$E$400,D8,'Main Tasks'!$G$5:$G$400,"Done")</f>
        <v/>
      </c>
      <c r="G8" s="13">
        <f>COUNTIFS('Main Tasks'!$E$5:$E$400,D8,'Main Tasks'!$G$5:$G$400,"Blocked")</f>
        <v/>
      </c>
    </row>
    <row r="9" ht="31.5" customHeight="1" s="36">
      <c r="A9" s="4" t="inlineStr">
        <is>
          <t>Subtasks complete</t>
        </is>
      </c>
      <c r="B9" s="12">
        <f>COUNTIF(Subtasks!$F$5:$F$400,"Done")</f>
        <v/>
      </c>
      <c r="D9" s="13" t="inlineStr">
        <is>
          <t>All members</t>
        </is>
      </c>
      <c r="E9" s="13">
        <f>COUNTIF('Main Tasks'!$E$5:$E$400,D9)</f>
        <v/>
      </c>
      <c r="F9" s="13">
        <f>COUNTIFS('Main Tasks'!$E$5:$E$400,D9,'Main Tasks'!$G$5:$G$400,"Done")</f>
        <v/>
      </c>
      <c r="G9" s="13">
        <f>COUNTIFS('Main Tasks'!$E$5:$E$400,D9,'Main Tasks'!$G$5:$G$400,"Blocked")</f>
        <v/>
      </c>
    </row>
    <row r="10" ht="31.5" customHeight="1" s="36">
      <c r="A10" s="4" t="inlineStr">
        <is>
          <t>Total subtasks</t>
        </is>
      </c>
      <c r="B10" s="12">
        <f>COUNTA(Subtasks!$A$5:$A$400)</f>
        <v/>
      </c>
      <c r="D10" s="13" t="inlineStr">
        <is>
          <t>—</t>
        </is>
      </c>
      <c r="E10" s="13">
        <f>COUNTIF('Main Tasks'!$E$5:$E$400,D10)</f>
        <v/>
      </c>
      <c r="F10" s="13">
        <f>COUNTIFS('Main Tasks'!$E$5:$E$400,D10,'Main Tasks'!$G$5:$G$400,"Done")</f>
        <v/>
      </c>
      <c r="G10" s="13">
        <f>COUNTIFS('Main Tasks'!$E$5:$E$400,D10,'Main Tasks'!$G$5:$G$400,"Blocked")</f>
        <v/>
      </c>
    </row>
    <row r="11" ht="31.5" customHeight="1" s="36">
      <c r="A11" s="4" t="inlineStr">
        <is>
          <t>Overall progress</t>
        </is>
      </c>
      <c r="B11" s="25">
        <f>IFERROR(B9/B10,0)</f>
        <v/>
      </c>
      <c r="D11" s="13" t="inlineStr">
        <is>
          <t>—</t>
        </is>
      </c>
      <c r="E11" s="13">
        <f>COUNTIF('Main Tasks'!$E$5:$E$400,D11)</f>
        <v/>
      </c>
      <c r="F11" s="13">
        <f>COUNTIFS('Main Tasks'!$E$5:$E$400,D11,'Main Tasks'!$G$5:$G$400,"Done")</f>
        <v/>
      </c>
      <c r="G11" s="13">
        <f>COUNTIFS('Main Tasks'!$E$5:$E$400,D11,'Main Tasks'!$G$5:$G$400,"Blocked")</f>
        <v/>
      </c>
    </row>
    <row r="12"/>
    <row r="13"/>
    <row r="14" ht="27.75" customHeight="1" s="36">
      <c r="A14" s="26" t="inlineStr">
        <is>
          <t>REVIEW FIRST — CORE DELIVERABLES</t>
        </is>
      </c>
    </row>
    <row r="15" ht="30.75" customHeight="1" s="36">
      <c r="A15" s="27" t="inlineStr">
        <is>
          <t>Task ID</t>
        </is>
      </c>
      <c r="B15" s="27" t="inlineStr">
        <is>
          <t>Core task</t>
        </is>
      </c>
      <c r="C15" s="27" t="inlineStr">
        <is>
          <t>Assigned Owner</t>
        </is>
      </c>
      <c r="D15" s="27" t="inlineStr">
        <is>
          <t>Deadline</t>
        </is>
      </c>
    </row>
    <row r="16" ht="28.5" customHeight="1" s="36">
      <c r="A16" s="28" t="inlineStr">
        <is>
          <t>T2</t>
        </is>
      </c>
      <c r="B16" s="28" t="inlineStr">
        <is>
          <t>Data pipeline and cleaning</t>
        </is>
      </c>
      <c r="C16" s="28" t="inlineStr">
        <is>
          <t>Raveena</t>
        </is>
      </c>
      <c r="D16" s="28" t="n"/>
    </row>
    <row r="17" ht="28.5" customHeight="1" s="36">
      <c r="A17" s="28" t="inlineStr">
        <is>
          <t>T3</t>
        </is>
      </c>
      <c r="B17" s="28" t="inlineStr">
        <is>
          <t>Client mandate (investment policy)</t>
        </is>
      </c>
      <c r="C17" s="28" t="inlineStr">
        <is>
          <t>Sujan</t>
        </is>
      </c>
      <c r="D17" s="28" t="n"/>
    </row>
    <row r="18" ht="28.5" customHeight="1" s="36">
      <c r="A18" s="28" t="inlineStr">
        <is>
          <t>T4</t>
        </is>
      </c>
      <c r="B18" s="28" t="inlineStr">
        <is>
          <t>Portfolio construction and selection</t>
        </is>
      </c>
      <c r="C18" s="28" t="inlineStr">
        <is>
          <t>Dewmini</t>
        </is>
      </c>
      <c r="D18" s="28" t="n"/>
    </row>
    <row r="19" ht="28.5" customHeight="1" s="36">
      <c r="A19" s="28" t="inlineStr">
        <is>
          <t>T6</t>
        </is>
      </c>
      <c r="B19" s="28" t="inlineStr">
        <is>
          <t>VaR with 3 methods</t>
        </is>
      </c>
      <c r="C19" s="28" t="inlineStr">
        <is>
          <t>Sujan</t>
        </is>
      </c>
      <c r="D19" s="28" t="n"/>
    </row>
    <row r="20" ht="28.5" customHeight="1" s="36">
      <c r="A20" s="28" t="inlineStr">
        <is>
          <t>T7</t>
        </is>
      </c>
      <c r="B20" s="28" t="inlineStr">
        <is>
          <t>Expected Shortfall</t>
        </is>
      </c>
      <c r="C20" s="28" t="inlineStr">
        <is>
          <t>Sujan</t>
        </is>
      </c>
      <c r="D20" s="28" t="n"/>
    </row>
    <row r="21" ht="28.5" customHeight="1" s="36">
      <c r="A21" s="28" t="inlineStr">
        <is>
          <t>T8</t>
        </is>
      </c>
      <c r="B21" s="28" t="inlineStr">
        <is>
          <t>EVT and GARCH</t>
        </is>
      </c>
      <c r="C21" s="28" t="inlineStr">
        <is>
          <t>Sujan</t>
        </is>
      </c>
      <c r="D21" s="28" t="n"/>
    </row>
    <row r="22" ht="28.5" customHeight="1" s="36">
      <c r="A22" s="28" t="inlineStr">
        <is>
          <t>T10</t>
        </is>
      </c>
      <c r="B22" s="28" t="inlineStr">
        <is>
          <t>Backtesting</t>
        </is>
      </c>
      <c r="C22" s="28" t="inlineStr">
        <is>
          <t>Malindu</t>
        </is>
      </c>
      <c r="D22" s="28" t="n"/>
    </row>
    <row r="23" ht="28.5" customHeight="1" s="36">
      <c r="A23" s="28" t="inlineStr">
        <is>
          <t>T11</t>
        </is>
      </c>
      <c r="B23" s="28" t="inlineStr">
        <is>
          <t>Stress testing</t>
        </is>
      </c>
      <c r="C23" s="28" t="inlineStr">
        <is>
          <t>Dewmini</t>
        </is>
      </c>
      <c r="D23" s="28" t="n"/>
    </row>
    <row r="24" ht="28.5" customHeight="1" s="36">
      <c r="A24" s="28" t="inlineStr">
        <is>
          <t>T14</t>
        </is>
      </c>
      <c r="B24" s="28" t="inlineStr">
        <is>
          <t>Streamlit app</t>
        </is>
      </c>
      <c r="C24" s="28" t="inlineStr">
        <is>
          <t>Malindu</t>
        </is>
      </c>
      <c r="D24" s="28" t="n"/>
    </row>
    <row r="25" ht="28.5" customHeight="1" s="36">
      <c r="A25" s="28" t="inlineStr">
        <is>
          <t>T15</t>
        </is>
      </c>
      <c r="B25" s="28" t="inlineStr">
        <is>
          <t>Assumptions and Limitations</t>
        </is>
      </c>
      <c r="C25" s="28" t="inlineStr">
        <is>
          <t>Raveena + Dewmini</t>
        </is>
      </c>
      <c r="D25" s="28" t="n"/>
    </row>
    <row r="26" ht="28.5" customHeight="1" s="36">
      <c r="A26" s="28" t="inlineStr">
        <is>
          <t>T16</t>
        </is>
      </c>
      <c r="B26" s="28" t="inlineStr">
        <is>
          <t>Written deliverables</t>
        </is>
      </c>
      <c r="C26" s="28" t="inlineStr">
        <is>
          <t>Raveena</t>
        </is>
      </c>
      <c r="D26" s="28" t="n"/>
    </row>
    <row r="27" ht="28.5" customHeight="1" s="36">
      <c r="A27" s="28" t="inlineStr">
        <is>
          <t>T17</t>
        </is>
      </c>
      <c r="B27" s="28" t="inlineStr">
        <is>
          <t>Repository and reproducibility</t>
        </is>
      </c>
      <c r="C27" s="28" t="inlineStr">
        <is>
          <t>Malindu</t>
        </is>
      </c>
      <c r="D27" s="28" t="n"/>
    </row>
    <row r="28" ht="28.5" customHeight="1" s="36">
      <c r="A28" s="28" t="inlineStr">
        <is>
          <t>T18</t>
        </is>
      </c>
      <c r="B28" s="28" t="inlineStr">
        <is>
          <t>AI disclosure and validation log</t>
        </is>
      </c>
      <c r="C28" s="28" t="inlineStr">
        <is>
          <t>Malindu</t>
        </is>
      </c>
      <c r="D28" s="28" t="n"/>
    </row>
    <row r="29" ht="15.75" customHeight="1" s="36">
      <c r="A29" s="28" t="inlineStr">
        <is>
          <t>T20</t>
        </is>
      </c>
      <c r="B29" s="28" t="inlineStr">
        <is>
          <t>Decision gate &amp; final recommendation (P3)</t>
        </is>
      </c>
      <c r="C29" s="28" t="inlineStr">
        <is>
          <t>All members</t>
        </is>
      </c>
      <c r="D29" s="28" t="n"/>
    </row>
    <row r="30" ht="15.75" customHeight="1" s="36">
      <c r="A30" s="28" t="inlineStr">
        <is>
          <t>T21</t>
        </is>
      </c>
      <c r="B30" s="28" t="inlineStr">
        <is>
          <t>Quality gates &amp; compliance QA</t>
        </is>
      </c>
      <c r="C30" s="28" t="inlineStr">
        <is>
          <t>Malindu</t>
        </is>
      </c>
      <c r="D30" s="28" t="n"/>
    </row>
    <row r="31" ht="30.75" customHeight="1" s="36">
      <c r="A31" s="29" t="inlineStr">
        <is>
          <t>No task deadlines have been invented. Fill due dates after the team approves a real calendar.</t>
        </is>
      </c>
    </row>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31:G31"/>
    <mergeCell ref="A1:J1"/>
    <mergeCell ref="A14:G14"/>
    <mergeCell ref="A2:J2"/>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L244"/>
  <sheetViews>
    <sheetView workbookViewId="0">
      <pane ySplit="4" topLeftCell="A5" activePane="bottomLeft" state="frozen"/>
      <selection pane="bottomLeft" activeCell="B6" sqref="B6"/>
    </sheetView>
  </sheetViews>
  <sheetFormatPr baseColWidth="8" defaultColWidth="12.63" defaultRowHeight="15" customHeight="1"/>
  <cols>
    <col width="11" customWidth="1" style="36" min="1" max="1"/>
    <col width="32" customWidth="1" style="36" min="2" max="2"/>
    <col width="57" customWidth="1" style="36" min="3" max="3"/>
    <col width="68" customWidth="1" style="36" min="4" max="4"/>
    <col width="22" customWidth="1" style="36" min="5" max="5"/>
    <col width="15" customWidth="1" style="36" min="6" max="6"/>
    <col width="17" customWidth="1" style="36" min="7" max="7"/>
    <col width="15" customWidth="1" style="36" min="8" max="8"/>
    <col width="17" customWidth="1" style="36" min="9" max="9"/>
    <col width="16" customWidth="1" style="36" min="10" max="10"/>
    <col width="31" customWidth="1" style="36" min="11" max="11"/>
    <col width="60" customWidth="1" style="36" min="12" max="26"/>
  </cols>
  <sheetData>
    <row r="1" ht="45" customHeight="1" s="36">
      <c r="A1" s="1" t="inlineStr">
        <is>
          <t>QUANTEDGE 1.0 — MAIN TASK REGISTER</t>
        </is>
      </c>
    </row>
    <row r="2" ht="28.5" customHeight="1" s="36">
      <c r="A2" s="5" t="inlineStr">
        <is>
          <t>Each subtask has its own row in column D; main-task fields are grouped. Update status in the first row of each group.</t>
        </is>
      </c>
    </row>
    <row r="4" ht="39.75" customHeight="1" s="36">
      <c r="A4" s="15" t="inlineStr">
        <is>
          <t>Task ID</t>
        </is>
      </c>
      <c r="B4" s="15" t="inlineStr">
        <is>
          <t>Main Task</t>
        </is>
      </c>
      <c r="C4" s="15" t="inlineStr">
        <is>
          <t>What must come out of it</t>
        </is>
      </c>
      <c r="D4" s="15" t="inlineStr">
        <is>
          <t>Subtasks</t>
        </is>
      </c>
      <c r="E4" s="15" t="inlineStr">
        <is>
          <t>Assigned Owner</t>
        </is>
      </c>
      <c r="F4" s="15" t="inlineStr">
        <is>
          <t>Priority</t>
        </is>
      </c>
      <c r="G4" s="15" t="inlineStr">
        <is>
          <t>Status</t>
        </is>
      </c>
      <c r="H4" s="15" t="inlineStr">
        <is>
          <t>Progress</t>
        </is>
      </c>
      <c r="I4" s="15" t="inlineStr">
        <is>
          <t>Target Week</t>
        </is>
      </c>
      <c r="J4" s="15" t="inlineStr">
        <is>
          <t>Due Date</t>
        </is>
      </c>
      <c r="K4" s="15" t="inlineStr">
        <is>
          <t>Notes / Links</t>
        </is>
      </c>
      <c r="L4" s="15" t="inlineStr">
        <is>
          <t>Definition of Done</t>
        </is>
      </c>
    </row>
    <row r="5" ht="34.5" customHeight="1" s="36">
      <c r="A5" s="17" t="inlineStr">
        <is>
          <t>T1</t>
        </is>
      </c>
      <c r="B5" s="18" t="inlineStr">
        <is>
          <t>Project setup and shared decisions</t>
        </is>
      </c>
      <c r="C5" s="18" t="inlineStr">
        <is>
          <t>Repo structure, environment, agreed function inputs and outputs, a decisions document (date range, risk-free rate, benchmark, universe).</t>
        </is>
      </c>
      <c r="D5" s="19" t="inlineStr">
        <is>
          <t>01  Create shared GitHub repository and directory structure</t>
        </is>
      </c>
      <c r="E5" s="18" t="inlineStr">
        <is>
          <t>Malindu</t>
        </is>
      </c>
      <c r="F5" s="18" t="inlineStr">
        <is>
          <t>Supporting</t>
        </is>
      </c>
      <c r="G5" s="18" t="inlineStr">
        <is>
          <t>In Progress</t>
        </is>
      </c>
      <c r="H5" s="20">
        <f>IFERROR(COUNTIFS(Subtasks!$B$5:$B$400,A5,Subtasks!$F$5:$F$400,"Done")/COUNTIF(Subtasks!$B$5:$B$400,A5),0)</f>
        <v/>
      </c>
      <c r="I5" s="18" t="inlineStr">
        <is>
          <t>Week 1</t>
        </is>
      </c>
      <c r="J5" s="21" t="n"/>
      <c r="K5" s="18" t="n"/>
      <c r="L5" s="18" t="inlineStr">
        <is>
          <t>All decisions APPROVED in DECISIONS.md; conventions tested; repo builds from README</t>
        </is>
      </c>
    </row>
    <row r="6" ht="34.5" customHeight="1" s="36">
      <c r="D6" s="19" t="inlineStr">
        <is>
          <t>02  Define environment, dependencies and setup commands</t>
        </is>
      </c>
    </row>
    <row r="7" ht="34.5" customHeight="1" s="36">
      <c r="D7" s="19" t="inlineStr">
        <is>
          <t>03  Agree on common model input/output conventions</t>
        </is>
      </c>
    </row>
    <row r="8" ht="34.5" customHeight="1" s="36">
      <c r="D8" s="19" t="inlineStr">
        <is>
          <t>04  Agree date range, risk-free rate, benchmark and ETF universe</t>
        </is>
      </c>
    </row>
    <row r="9" ht="34.5" customHeight="1" s="36">
      <c r="D9" s="19" t="inlineStr">
        <is>
          <t>05  Record decisions, responsibility owners and review process</t>
        </is>
      </c>
    </row>
    <row r="10" ht="34.5" customHeight="1" s="36">
      <c r="D10" s="19" t="inlineStr">
        <is>
          <t>06  Map brief Layers 1–5 to code stages; keep the vocabularies separate</t>
        </is>
      </c>
    </row>
    <row r="11" ht="34.5" customHeight="1" s="36">
      <c r="D11" s="19" t="inlineStr">
        <is>
          <t>07  Settle blocking decisions D3, D5, D6, D7, D12 before portfolio stage</t>
        </is>
      </c>
    </row>
    <row r="12" ht="34.5" customHeight="1" s="36">
      <c r="D12" s="19" t="inlineStr">
        <is>
          <t>08  Settle remaining decisions D1, D4, D8, D9, D11, D13, D16</t>
        </is>
      </c>
    </row>
    <row r="13" ht="34.5" customHeight="1" s="36">
      <c r="D13" s="19" t="inlineStr">
        <is>
          <t>09  Upload missing Batch04 explainer (slides 61–80); remove duplicate Batch02</t>
        </is>
      </c>
    </row>
    <row r="14" ht="34.5" customHeight="1" s="36">
      <c r="D14" s="19" t="inlineStr">
        <is>
          <t>10  Approve decisions already implied by approved work: D4 5-year horizon (D7 uses it), D11 quarterly (D3 uses it), D13 1,000-day window, D1 full sample, D2 DTB3, D8 EVT method</t>
        </is>
      </c>
    </row>
    <row r="15" ht="34.5" customHeight="1" s="36">
      <c r="D15" s="19" t="inlineStr">
        <is>
          <t>11  Approve optimiser design for drawdown limit (CVaR constraint + CDaR or post-check)</t>
        </is>
      </c>
    </row>
    <row r="16" ht="34.5" customHeight="1" s="36">
      <c r="A16" s="17" t="inlineStr">
        <is>
          <t>T2</t>
        </is>
      </c>
      <c r="B16" s="18" t="inlineStr">
        <is>
          <t>Data pipeline and cleaning</t>
        </is>
      </c>
      <c r="C16" s="18" t="inlineStr">
        <is>
          <t>Adjusted prices, aligned calendars, log returns, flagged (not deleted) outliers, ADF stationarity test, fully reproducible from code.</t>
        </is>
      </c>
      <c r="D16" s="19" t="inlineStr">
        <is>
          <t>01  Download adjusted prices for all seven allowed ETFs</t>
        </is>
      </c>
      <c r="E16" s="18" t="inlineStr">
        <is>
          <t>Raveena</t>
        </is>
      </c>
      <c r="F16" s="18" t="inlineStr">
        <is>
          <t>Core ★</t>
        </is>
      </c>
      <c r="G16" s="18" t="inlineStr">
        <is>
          <t>In Progress</t>
        </is>
      </c>
      <c r="H16" s="20">
        <f>IFERROR(COUNTIFS(Subtasks!$B$5:$B$400,A16,Subtasks!$F$5:$F$400,"Done")/COUNTIF(Subtasks!$B$5:$B$400,A16),0)</f>
        <v/>
      </c>
      <c r="I16" s="18" t="inlineStr">
        <is>
          <t>Week 1</t>
        </is>
      </c>
      <c r="J16" s="21" t="n"/>
      <c r="K16" s="18" t="n"/>
      <c r="L16" s="18" t="inlineStr">
        <is>
          <t>`run_all.py --only data` rebuilds every processed file from snapshots; regression + unit tests pass; split labels with leakage test</t>
        </is>
      </c>
    </row>
    <row r="17" ht="34.5" customHeight="1" s="36">
      <c r="D17" s="19" t="inlineStr">
        <is>
          <t>02  Document data source, download date and adjustment choices</t>
        </is>
      </c>
    </row>
    <row r="18" ht="34.5" customHeight="1" s="36">
      <c r="D18" s="19" t="inlineStr">
        <is>
          <t>03  Align calendars, missing observations and common sample</t>
        </is>
      </c>
    </row>
    <row r="19" ht="34.5" customHeight="1" s="36">
      <c r="D19" s="19" t="inlineStr">
        <is>
          <t>04  Calculate daily log returns and verify computations</t>
        </is>
      </c>
    </row>
    <row r="20" ht="34.5" customHeight="1" s="36">
      <c r="D20" s="19" t="inlineStr">
        <is>
          <t>05  Flag potential outliers without automatically deleting them</t>
        </is>
      </c>
    </row>
    <row r="21" ht="34.5" customHeight="1" s="36">
      <c r="D21" s="19" t="inlineStr">
        <is>
          <t>06  Run ADF tests and export reproducible clean datasets</t>
        </is>
      </c>
    </row>
    <row r="22" ht="34.5" customHeight="1" s="36">
      <c r="D22" s="19" t="inlineStr">
        <is>
          <t>07  Move notebook logic into tested data-stage code; prove it reproduces the original files</t>
        </is>
      </c>
    </row>
    <row r="23" ht="34.5" customHeight="1" s="36">
      <c r="D23" s="19" t="inlineStr">
        <is>
          <t>08  Calculate simple returns and state where simple vs log are used</t>
        </is>
      </c>
    </row>
    <row r="24" ht="34.5" customHeight="1" s="36">
      <c r="D24" s="19" t="inlineStr">
        <is>
          <t>09  Download FRED DTB3, DGS10, CPI; align to trading days without look-ahead</t>
        </is>
      </c>
    </row>
    <row r="25" ht="34.5" customHeight="1" s="36">
      <c r="D25" s="19" t="inlineStr">
        <is>
          <t>10  Extra quality checks: stale prices, jumps, reversals, large negatives, variance breaks</t>
        </is>
      </c>
    </row>
    <row r="26" ht="34.5" customHeight="1" s="36">
      <c r="D26" s="19" t="inlineStr">
        <is>
          <t>11  Review every flag against market events; document decisions</t>
        </is>
      </c>
    </row>
    <row r="27" ht="34.5" customHeight="1" s="36">
      <c r="D27" s="19" t="inlineStr">
        <is>
          <t>12  Confirm GLD −10.8% on 2026-01-30 against market news</t>
        </is>
      </c>
    </row>
    <row r="28" ht="34.5" customHeight="1" s="36">
      <c r="D28" s="19" t="inlineStr">
        <is>
          <t>13  Implement chronological train / validation / test split in code</t>
        </is>
      </c>
    </row>
    <row r="29" ht="34.5" customHeight="1" s="36">
      <c r="D29" s="19" t="inlineStr">
        <is>
          <t>14  Download ETF distributions (dividends) for the income objective</t>
        </is>
      </c>
    </row>
    <row r="30" ht="34.5" customHeight="1" s="36">
      <c r="D30" s="19" t="inlineStr">
        <is>
          <t>15  ETF instrument register: asset class, role, inception, distribution policy (no extra data sources)</t>
        </is>
      </c>
    </row>
    <row r="31" ht="34.5" customHeight="1" s="36">
      <c r="D31" s="19" t="inlineStr">
        <is>
          <t>16  Team sign-off of data-stage validation log entries</t>
        </is>
      </c>
    </row>
    <row r="32" ht="34.5" customHeight="1" s="36">
      <c r="D32" s="19" t="inlineStr">
        <is>
          <t>17  Move quarterly-rebalanced NAV/turnover function from research script into common/conventions with tests</t>
        </is>
      </c>
    </row>
    <row r="33" ht="34.5" customHeight="1" s="36">
      <c r="A33" s="17" t="inlineStr">
        <is>
          <t>T3</t>
        </is>
      </c>
      <c r="B33" s="18" t="inlineStr">
        <is>
          <t>Client mandate (investment policy)</t>
        </is>
      </c>
      <c r="C33" s="18" t="inlineStr">
        <is>
          <t>Investment horizon, return objective, risk constraints (VaR/ES/drawdown limits), why it suits a conservative client.</t>
        </is>
      </c>
      <c r="D33" s="19" t="inlineStr">
        <is>
          <t>01  Define endowment horizon, investment purpose and liquidity needs</t>
        </is>
      </c>
      <c r="E33" s="18" t="inlineStr">
        <is>
          <t>Sujan</t>
        </is>
      </c>
      <c r="F33" s="18" t="inlineStr">
        <is>
          <t>Core ★</t>
        </is>
      </c>
      <c r="G33" s="18" t="inlineStr">
        <is>
          <t>In Progress</t>
        </is>
      </c>
      <c r="H33" s="20">
        <f>IFERROR(COUNTIFS(Subtasks!$B$5:$B$400,A33,Subtasks!$F$5:$F$400,"Done")/COUNTIF(Subtasks!$B$5:$B$400,A33),0)</f>
        <v/>
      </c>
      <c r="I33" s="18" t="inlineStr">
        <is>
          <t>Week 1</t>
        </is>
      </c>
      <c r="J33" s="21" t="n"/>
      <c r="K33" s="18" t="n"/>
      <c r="L33" s="18" t="inlineStr">
        <is>
          <t>docs/IPS.md states horizon, return objective, constraints, limits and suitability criteria, consistent with config</t>
        </is>
      </c>
    </row>
    <row r="34" ht="34.5" customHeight="1" s="36">
      <c r="D34" s="19" t="inlineStr">
        <is>
          <t>02  Propose justified return and inflation-protection objectives</t>
        </is>
      </c>
    </row>
    <row r="35" ht="34.5" customHeight="1" s="36">
      <c r="D35" s="19" t="inlineStr">
        <is>
          <t>03  Set no-short-selling, allocation caps and risk-budget rules</t>
        </is>
      </c>
    </row>
    <row r="36" ht="34.5" customHeight="1" s="36">
      <c r="D36" s="19" t="inlineStr">
        <is>
          <t>04  Propose VaR, ES and drawdown tolerances</t>
        </is>
      </c>
    </row>
    <row r="37" ht="34.5" customHeight="1" s="36">
      <c r="D37" s="19" t="inlineStr">
        <is>
          <t>05  Document assumptions and secure team agreement</t>
        </is>
      </c>
    </row>
    <row r="38" ht="34.5" customHeight="1" s="36">
      <c r="D38" s="19" t="inlineStr">
        <is>
          <t>06  Spending rule and cost assumptions (spending rate, turnover cost; ETF fees already in prices)</t>
        </is>
      </c>
    </row>
    <row r="39" ht="34.5" customHeight="1" s="36">
      <c r="D39" s="19" t="inlineStr">
        <is>
          <t>07  Rebalancing policy (frequency, drift band)</t>
        </is>
      </c>
    </row>
    <row r="40" ht="34.5" customHeight="1" s="36">
      <c r="D40" s="19" t="inlineStr">
        <is>
          <t>08  Choose benchmarks: CAPM market proxy and policy benchmark</t>
        </is>
      </c>
    </row>
    <row r="41" ht="34.5" customHeight="1" s="36">
      <c r="D41" s="19" t="inlineStr">
        <is>
          <t>09  Define suitability criteria used by the decision gate</t>
        </is>
      </c>
    </row>
    <row r="42" ht="34.5" customHeight="1" s="36">
      <c r="D42" s="19" t="inlineStr">
        <is>
          <t>10  Confirm no cash sleeve / derivatives; spending liquidity from AGG</t>
        </is>
      </c>
    </row>
    <row r="43" ht="34.5" customHeight="1" s="36">
      <c r="D43" s="19" t="inlineStr">
        <is>
          <t>11  Required-vs-expected return table (breakeven inflation, CAPM, income yield, history; ERP and withholding sensitivity)</t>
        </is>
      </c>
    </row>
    <row r="44" ht="34.5" customHeight="1" s="36">
      <c r="D44" s="19" t="inlineStr">
        <is>
          <t>12  Choose base ERP and risk-free assumption for expected returns (own-data ERP 9.7%, CI 3.5–15.8%, too wide to use alone)</t>
        </is>
      </c>
    </row>
    <row r="45" ht="34.5" customHeight="1" s="36">
      <c r="D45" s="19" t="inlineStr">
        <is>
          <t>13  Confirm base spending rate, real growth and extra costs (S, G, C); cite the spending benchmark source</t>
        </is>
      </c>
    </row>
    <row r="46" ht="34.5" customHeight="1" s="36">
      <c r="D46" s="19" t="inlineStr">
        <is>
          <t>15  Highest sustainable spending per portfolio + auto-generated one-page summary</t>
        </is>
      </c>
    </row>
    <row r="47" ht="34.5" customHeight="1" s="36">
      <c r="D47" s="19" t="inlineStr">
        <is>
          <t>16  Revisit S, G, C and ERP after further team research; rerun and compare</t>
        </is>
      </c>
    </row>
    <row r="48" ht="34.5" customHeight="1" s="36">
      <c r="D48" s="19" t="inlineStr">
        <is>
          <t>17  Research and approve D3 benchmark structure</t>
        </is>
      </c>
    </row>
    <row r="49" ht="34.5" customHeight="1" s="36">
      <c r="D49" s="19" t="inlineStr">
        <is>
          <t>18  Research and approve D7 provisional risk limits</t>
        </is>
      </c>
    </row>
    <row r="50" ht="34.5" customHeight="1" s="36">
      <c r="D50" s="19" t="inlineStr">
        <is>
          <t>19  Committee choice on the drawdown ↔ spending trade-off (20% → 2.1%, 25% → 2.8%)</t>
        </is>
      </c>
    </row>
    <row r="51" ht="34.5" customHeight="1" s="36">
      <c r="D51" s="19" t="inlineStr">
        <is>
          <t>20  Fix model warnings: daily covariance, per-ETF withholding, risk-free scenarios, separate gold assessment</t>
        </is>
      </c>
    </row>
    <row r="52" ht="34.5" customHeight="1" s="36">
      <c r="D52" s="19" t="inlineStr">
        <is>
          <t>21  Risk tolerance approximation: willingness (mandate wording, peer losses) vs ability (capacity); tolerance = lower of the two</t>
        </is>
      </c>
    </row>
    <row r="53" ht="34.5" customHeight="1" s="36">
      <c r="D53" s="19" t="inlineStr">
        <is>
          <t>22  Risk capacity: largest loss the fund can take while keeping spending and real value within floors (analytic + bootstrap with spending)</t>
        </is>
      </c>
    </row>
    <row r="54" ht="34.5" customHeight="1" s="36">
      <c r="D54" s="19" t="inlineStr">
        <is>
          <t>23  Spending continuity after losses: fixed-real-dollar vs %-of-NAV vs smoothing rule over 5-year paths</t>
        </is>
      </c>
    </row>
    <row r="55" ht="34.5" customHeight="1" s="36">
      <c r="D55" s="19" t="inlineStr">
        <is>
          <t>24  Recovery time after 10/15/20/25% losses: historical and forward (bootstrap)</t>
        </is>
      </c>
    </row>
    <row r="56" ht="34.5" customHeight="1" s="36">
      <c r="D56" s="19" t="inlineStr">
        <is>
          <t>25  Liquidity under stress: funding spending and rebalancing from AGG in a crisis (incl. 2008-10-10 discount)</t>
        </is>
      </c>
    </row>
    <row r="57" ht="34.5" customHeight="1" s="36">
      <c r="D57" s="19" t="inlineStr">
        <is>
          <t>26  Losses beyond history: severity-scaled crisis replays (GFC ×1.25, ×1.5)</t>
        </is>
      </c>
    </row>
    <row r="58" ht="34.5" customHeight="1" s="36">
      <c r="D58" s="19" t="inlineStr">
        <is>
          <t>27  Drawdown monitoring and action ladder (amber / red / limit) for memo and app</t>
        </is>
      </c>
    </row>
    <row r="59" ht="34.5" customHeight="1" s="36">
      <c r="D59" s="19" t="inlineStr">
        <is>
          <t>28  Re-confirm D7 (drawdown, VaR, ES limits) against tolerance and capacity results</t>
        </is>
      </c>
    </row>
    <row r="60" ht="34.5" customHeight="1" s="36">
      <c r="D60" s="19" t="inlineStr">
        <is>
          <t>29  Open question for committee: is 4% spending compulsory (fixed) or flexible? Memo shows both: fixed → disclosed real erosion ~0.6–1.2%/yr and capacity ~20%; flexible → move toward ~2.9% via D24</t>
        </is>
      </c>
    </row>
    <row r="61" ht="34.5" customHeight="1" s="36">
      <c r="D61" s="19" t="inlineStr">
        <is>
          <t>14  Tax assumption: tax-exempt base case, dividend withholding as sensitivity (check interest-related dividend exemption for AGG)</t>
        </is>
      </c>
    </row>
    <row r="62" ht="34.5" customHeight="1" s="36">
      <c r="A62" s="17" t="inlineStr">
        <is>
          <t>T4</t>
        </is>
      </c>
      <c r="B62" s="18" t="inlineStr">
        <is>
          <t>Portfolio construction and selection</t>
        </is>
      </c>
      <c r="C62" s="18" t="inlineStr">
        <is>
          <t>Markowitz and CAPM, three candidate portfolios, constraints, comparison, final weights with justification.</t>
        </is>
      </c>
      <c r="D62" s="19" t="inlineStr">
        <is>
          <t>01  Estimate training returns, covariance matrix and correlations</t>
        </is>
      </c>
      <c r="E62" s="18" t="inlineStr">
        <is>
          <t>Dewmini</t>
        </is>
      </c>
      <c r="F62" s="18" t="inlineStr">
        <is>
          <t>Core ★</t>
        </is>
      </c>
      <c r="G62" s="18" t="inlineStr">
        <is>
          <t>In Progress</t>
        </is>
      </c>
      <c r="H62" s="20">
        <f>IFERROR(COUNTIFS(Subtasks!$B$5:$B$400,A62,Subtasks!$F$5:$F$400,"Done")/COUNTIF(Subtasks!$B$5:$B$400,A62),0)</f>
        <v/>
      </c>
      <c r="I62" s="18" t="inlineStr">
        <is>
          <t>Weeks 1–2</t>
        </is>
      </c>
      <c r="J62" s="21" t="n"/>
      <c r="K62" s="18" t="n"/>
      <c r="L62" s="18" t="inlineStr">
        <is>
          <t>Each candidate meets D6 v2 + D7 (tests); P1-train and P1-final saved; frontier and trade-off table produced</t>
        </is>
      </c>
    </row>
    <row r="63" ht="34.5" customHeight="1" s="36">
      <c r="D63" s="19" t="inlineStr">
        <is>
          <t>02  Implement constrained minimum-variance allocation</t>
        </is>
      </c>
    </row>
    <row r="64" ht="34.5" customHeight="1" s="36">
      <c r="D64" s="19" t="inlineStr">
        <is>
          <t>03  Implement risk-parity allocation</t>
        </is>
      </c>
    </row>
    <row r="65" ht="34.5" customHeight="1" s="36">
      <c r="D65" s="19" t="inlineStr">
        <is>
          <t>04  Implement capped maximum-Sharpe allocation</t>
        </is>
      </c>
    </row>
    <row r="66" ht="34.5" customHeight="1" s="36">
      <c r="D66" s="19" t="inlineStr">
        <is>
          <t>05  Document Markowitz/CAPM concepts and benchmark assumptions</t>
        </is>
      </c>
    </row>
    <row r="67" ht="34.5" customHeight="1" s="36">
      <c r="D67" s="19" t="inlineStr">
        <is>
          <t>06  Compare diversification, concentration and feasible weights</t>
        </is>
      </c>
    </row>
    <row r="68" ht="34.5" customHeight="1" s="36">
      <c r="D68" s="19" t="inlineStr">
        <is>
          <t>07  Provide candidate and proposed final weights with justification</t>
        </is>
      </c>
    </row>
    <row r="69" ht="34.5" customHeight="1" s="36">
      <c r="D69" s="19" t="inlineStr">
        <is>
          <t>08  Robust inputs: shrinkage covariance (Ledoit–Wolf), cautious expected returns</t>
        </is>
      </c>
    </row>
    <row r="70" ht="34.5" customHeight="1" s="36">
      <c r="D70" s="19" t="inlineStr">
        <is>
          <t>09  Implement minimum-CVaR allocation (Rockafellar–Uryasev)</t>
        </is>
      </c>
    </row>
    <row r="71" ht="34.5" customHeight="1" s="36">
      <c r="D71" s="19" t="inlineStr">
        <is>
          <t>10  Implement target-return Markowitz at the D12 hurdle (minimum 6.66% / target 7.19%) with fallback to lowest-risk feasible portfolio</t>
        </is>
      </c>
    </row>
    <row r="72" ht="34.5" customHeight="1" s="36">
      <c r="D72" s="19" t="inlineStr">
        <is>
          <t>11  Efficient frontier with candidates and benchmarks plotted; trade-off table</t>
        </is>
      </c>
    </row>
    <row r="73" ht="34.5" customHeight="1" s="36">
      <c r="D73" s="19" t="inlineStr">
        <is>
          <t>12  Feasibility filters: D6 v2 layers (equity 20–45%, GLD ≤ 20%, ≤ 2× benchmark, sector tilts) + D7 limits</t>
        </is>
      </c>
    </row>
    <row r="74" ht="34.5" customHeight="1" s="36">
      <c r="D74" s="19" t="inlineStr">
        <is>
          <t>13  Net-of-cost and turnover test under chosen rebalancing</t>
        </is>
      </c>
    </row>
    <row r="75" ht="34.5" customHeight="1" s="36">
      <c r="D75" s="19" t="inlineStr">
        <is>
          <t>14  Diversification metrics: diversification ratio, risk contribution vs weight</t>
        </is>
      </c>
    </row>
    <row r="76" ht="34.5" customHeight="1" s="36">
      <c r="D76" s="19" t="inlineStr">
        <is>
          <t>15  Weight sensitivity to input changes (sub-period / bootstrap re-estimation)</t>
        </is>
      </c>
    </row>
    <row r="77" ht="34.5" customHeight="1" s="36">
      <c r="D77" s="19" t="inlineStr">
        <is>
          <t>16  Freeze P1 handoff: candidate weights + metadata file</t>
        </is>
      </c>
    </row>
    <row r="78" ht="34.5" customHeight="1" s="36">
      <c r="D78" s="19" t="inlineStr">
        <is>
          <t>17  Unit tests for all optimisers (constraints respected, known solutions)</t>
        </is>
      </c>
    </row>
    <row r="79" ht="34.5" customHeight="1" s="36">
      <c r="D79" s="19" t="inlineStr">
        <is>
          <t>18  Capital market assumptions estimated on the training window only, for out-of-sample candidates</t>
        </is>
      </c>
    </row>
    <row r="80" ht="34.5" customHeight="1" s="36">
      <c r="D80" s="19" t="inlineStr">
        <is>
          <t>19  Produce two P1 sets: P1-train (frozen, for OOS backtests) and P1-final (full-sample re-fit, same frozen method)</t>
        </is>
      </c>
    </row>
    <row r="81" ht="34.5" customHeight="1" s="36">
      <c r="D81" s="19" t="inlineStr">
        <is>
          <t>20  Optimiser design meeting D6 v2 + D7 (ES as CVaR constraint; drawdown via CDaR or post-check)</t>
        </is>
      </c>
    </row>
    <row r="82" ht="34.5" customHeight="1" s="36">
      <c r="D82" s="19" t="inlineStr">
        <is>
          <t>21  Add every candidate to the required-vs-expected table with sustainable spending</t>
        </is>
      </c>
    </row>
    <row r="83" ht="34.5" customHeight="1" s="36">
      <c r="D83" s="19" t="inlineStr">
        <is>
          <t>22  Decide bond expected-return method for near-zero rates (D25) and apply to both CMA sets</t>
        </is>
      </c>
    </row>
    <row r="84" ht="34.5" customHeight="1" s="36">
      <c r="D84" s="19" t="inlineStr">
        <is>
          <t>23  Required return in training-period terms (2014 breakeven, same S/G/C) for P1-train return targets</t>
        </is>
      </c>
    </row>
    <row r="85" ht="34.5" customHeight="1" s="36">
      <c r="D85" s="19" t="inlineStr">
        <is>
          <t>24  Decide portfolio choice rule when the hurdle is infeasible (D26)</t>
        </is>
      </c>
    </row>
    <row r="86" ht="34.5" customHeight="1" s="36">
      <c r="D86" s="19" t="inlineStr">
        <is>
          <t>25  Final-selection robustness: D26 with a 5-year-test margin, component-ES cap, or blend with Risk Parity (out-of-sample evidence)</t>
        </is>
      </c>
    </row>
    <row r="87" ht="34.5" customHeight="1" s="36">
      <c r="D87" s="19" t="inlineStr">
        <is>
          <t>26  Speed up portfolio stage (~7 min): cache solves, fewer bisection steps</t>
        </is>
      </c>
    </row>
    <row r="88" ht="34.5" customHeight="1" s="36">
      <c r="A88" s="17" t="inlineStr">
        <is>
          <t>T5</t>
        </is>
      </c>
      <c r="B88" s="18" t="inlineStr">
        <is>
          <t>KPIs and benchmarks</t>
        </is>
      </c>
      <c r="C88" s="18" t="inlineStr">
        <is>
          <t>Sharpe, Sortino, Treynor, Jensen’s alpha, Information Ratio, max drawdown, Calmar, compared with benchmarks.</t>
        </is>
      </c>
      <c r="D88" s="19" t="inlineStr">
        <is>
          <t>01  Implement Sharpe and Sortino metrics consistently</t>
        </is>
      </c>
      <c r="E88" s="18" t="inlineStr">
        <is>
          <t>Raveena</t>
        </is>
      </c>
      <c r="F88" s="18" t="inlineStr">
        <is>
          <t>Supporting</t>
        </is>
      </c>
      <c r="G88" s="18" t="inlineStr">
        <is>
          <t>Done</t>
        </is>
      </c>
      <c r="H88" s="20">
        <f>IFERROR(COUNTIFS(Subtasks!$B$5:$B$400,A88,Subtasks!$F$5:$F$400,"Done")/COUNTIF(Subtasks!$B$5:$B$400,A88),0)</f>
        <v/>
      </c>
      <c r="I88" s="18" t="inlineStr">
        <is>
          <t>Week 2</t>
        </is>
      </c>
      <c r="J88" s="21" t="n"/>
      <c r="K88" s="18" t="n"/>
      <c r="L88" s="18" t="inlineStr">
        <is>
          <t>Every KPI unit-tested on a hand-computed example; same rebalancing for portfolio and benchmarks</t>
        </is>
      </c>
    </row>
    <row r="89" ht="34.5" customHeight="1" s="36">
      <c r="D89" s="19" t="inlineStr">
        <is>
          <t>02  Compute Treynor and Jensen alpha with market benchmark</t>
        </is>
      </c>
    </row>
    <row r="90" ht="34.5" customHeight="1" s="36">
      <c r="D90" s="19" t="inlineStr">
        <is>
          <t>03  Compute Information Ratio against agreed benchmark</t>
        </is>
      </c>
    </row>
    <row r="91" ht="34.5" customHeight="1" s="36">
      <c r="D91" s="19" t="inlineStr">
        <is>
          <t>04  Compute maximum drawdown and Calmar ratio</t>
        </is>
      </c>
    </row>
    <row r="92" ht="34.5" customHeight="1" s="36">
      <c r="D92" s="19" t="inlineStr">
        <is>
          <t>05  Prepare comparative KPI and benchmark results</t>
        </is>
      </c>
    </row>
    <row r="93" ht="34.5" customHeight="1" s="36">
      <c r="D93" s="19" t="inlineStr">
        <is>
          <t>06  CAPM expected return and beta per ETF and candidate</t>
        </is>
      </c>
    </row>
    <row r="94" ht="34.5" customHeight="1" s="36">
      <c r="D94" s="19" t="inlineStr">
        <is>
          <t>07  Report KPIs separately for training and out-of-sample periods</t>
        </is>
      </c>
    </row>
    <row r="95" ht="34.5" customHeight="1" s="36">
      <c r="D95" s="19" t="inlineStr">
        <is>
          <t>08  Verify KPIs against hand-calculated examples</t>
        </is>
      </c>
    </row>
    <row r="96" ht="34.5" customHeight="1" s="36">
      <c r="D96" s="19" t="inlineStr">
        <is>
          <t>09  KPIs for portfolio and all D3 benchmarks with identical (quarterly) rebalancing and total returns</t>
        </is>
      </c>
    </row>
    <row r="97" ht="34.5" customHeight="1" s="36">
      <c r="A97" s="17" t="inlineStr">
        <is>
          <t>T6</t>
        </is>
      </c>
      <c r="B97" s="18" t="inlineStr">
        <is>
          <t>VaR with 3 methods</t>
        </is>
      </c>
      <c r="C97" s="18" t="inlineStr">
        <is>
          <t>Historical, Parametric and Monte Carlo at 95% and 99%, plus a written explanation of where and why they disagree.</t>
        </is>
      </c>
      <c r="D97" s="19" t="inlineStr">
        <is>
          <t>01  Fix portfolio losses convention and risk horizon</t>
        </is>
      </c>
      <c r="E97" s="18" t="inlineStr">
        <is>
          <t>Sujan</t>
        </is>
      </c>
      <c r="F97" s="18" t="inlineStr">
        <is>
          <t>Core ★</t>
        </is>
      </c>
      <c r="G97" s="18" t="inlineStr">
        <is>
          <t>In Progress</t>
        </is>
      </c>
      <c r="H97" s="20">
        <f>IFERROR(COUNTIFS(Subtasks!$B$5:$B$400,A97,Subtasks!$F$5:$F$400,"Done")/COUNTIF(Subtasks!$B$5:$B$400,A97),0)</f>
        <v/>
      </c>
      <c r="I97" s="18" t="inlineStr">
        <is>
          <t>Week 2</t>
        </is>
      </c>
      <c r="J97" s="21" t="n"/>
      <c r="K97" s="18" t="n"/>
      <c r="L97" s="18" t="inlineStr">
        <is>
          <t>Each method tested against a known answer (e.g. normal VaR = μ + zσ); 90/95/99 with uncertainty bands; assumption diagnostics reported</t>
        </is>
      </c>
    </row>
    <row r="98" ht="34.5" customHeight="1" s="36">
      <c r="D98" s="19" t="inlineStr">
        <is>
          <t>02  Implement Historical VaR at 95% and 99%</t>
        </is>
      </c>
    </row>
    <row r="99" ht="34.5" customHeight="1" s="36">
      <c r="D99" s="19" t="inlineStr">
        <is>
          <t>03  Implement Parametric VaR at 95% and 99%</t>
        </is>
      </c>
    </row>
    <row r="100" ht="34.5" customHeight="1" s="36">
      <c r="D100" s="19" t="inlineStr">
        <is>
          <t>04  Implement Monte Carlo VaR at 95% and 99%</t>
        </is>
      </c>
    </row>
    <row r="101" ht="34.5" customHeight="1" s="36">
      <c r="D101" s="19" t="inlineStr">
        <is>
          <t>05  Compare all methods on identical portfolios and windows</t>
        </is>
      </c>
    </row>
    <row r="102" ht="34.5" customHeight="1" s="36">
      <c r="D102" s="19" t="inlineStr">
        <is>
          <t>06  Explain disagreements under calm and stressed conditions</t>
        </is>
      </c>
    </row>
    <row r="103" ht="34.5" customHeight="1" s="36">
      <c r="D103" s="19" t="inlineStr">
        <is>
          <t>07  Add 90% level to every VaR method (app requirement)</t>
        </is>
      </c>
    </row>
    <row r="104" ht="34.5" customHeight="1" s="36">
      <c r="D104" s="19" t="inlineStr">
        <is>
          <t>08  Test model assumptions: Jarque–Bera, Ljung–Box on squared returns, QQ plots</t>
        </is>
      </c>
    </row>
    <row r="105" ht="34.5" customHeight="1" s="36">
      <c r="D105" s="19" t="inlineStr">
        <is>
          <t>09  Uncertainty bands: bootstrap CI (historical), MC standard error</t>
        </is>
      </c>
    </row>
    <row r="106" ht="34.5" customHeight="1" s="36">
      <c r="D106" s="19" t="inlineStr">
        <is>
          <t>10  Multi-day horizon by simulation (no silent √t)</t>
        </is>
      </c>
    </row>
    <row r="107" ht="34.5" customHeight="1" s="36">
      <c r="D107" s="19" t="inlineStr">
        <is>
          <t>11  Express VaR in USD on the $10M NAV</t>
        </is>
      </c>
    </row>
    <row r="108" ht="34.5" customHeight="1" s="36">
      <c r="D108" s="19" t="inlineStr">
        <is>
          <t>12  Forward-looking drawdown probabilities, e.g. P(DD &gt; 25% in 5 years), by block bootstrap</t>
        </is>
      </c>
    </row>
    <row r="109" ht="34.5" customHeight="1" s="36">
      <c r="D109" s="19" t="inlineStr">
        <is>
          <t>13  Speed up risk stage (~7 min; Student-t bootstrap refits)</t>
        </is>
      </c>
    </row>
    <row r="110" ht="34.5" customHeight="1" s="36">
      <c r="A110" s="17" t="inlineStr">
        <is>
          <t>T7</t>
        </is>
      </c>
      <c r="B110" s="18" t="inlineStr">
        <is>
          <t>Expected Shortfall</t>
        </is>
      </c>
      <c r="C110" s="18" t="inlineStr">
        <is>
          <t>ES at the same confidence levels, with the rationale for using it besides VaR.</t>
        </is>
      </c>
      <c r="D110" s="19" t="inlineStr">
        <is>
          <t>01  Compute Historical ES at 95% and 99%</t>
        </is>
      </c>
      <c r="E110" s="18" t="inlineStr">
        <is>
          <t>Sujan</t>
        </is>
      </c>
      <c r="F110" s="18" t="inlineStr">
        <is>
          <t>Core ★</t>
        </is>
      </c>
      <c r="G110" s="18" t="inlineStr">
        <is>
          <t>Done</t>
        </is>
      </c>
      <c r="H110" s="20">
        <f>IFERROR(COUNTIFS(Subtasks!$B$5:$B$400,A110,Subtasks!$F$5:$F$400,"Done")/COUNTIF(Subtasks!$B$5:$B$400,A110),0)</f>
        <v/>
      </c>
      <c r="I110" s="18" t="inlineStr">
        <is>
          <t>Week 2</t>
        </is>
      </c>
      <c r="J110" s="21" t="n"/>
      <c r="K110" s="18" t="n"/>
      <c r="L110" s="18" t="inlineStr">
        <is>
          <t>Each method tested against a known answer (e.g. normal VaR = μ + zσ); 90/95/99 with uncertainty bands; assumption diagnostics reported</t>
        </is>
      </c>
    </row>
    <row r="111" ht="34.5" customHeight="1" s="36">
      <c r="D111" s="19" t="inlineStr">
        <is>
          <t>02  Compute ES from Parametric and Monte Carlo approaches</t>
        </is>
      </c>
    </row>
    <row r="112" ht="34.5" customHeight="1" s="36">
      <c r="D112" s="19" t="inlineStr">
        <is>
          <t>03  Compare corresponding VaR and ES outcomes</t>
        </is>
      </c>
    </row>
    <row r="113" ht="34.5" customHeight="1" s="36">
      <c r="D113" s="19" t="inlineStr">
        <is>
          <t>04  Explain expected tail losses and data limitations</t>
        </is>
      </c>
    </row>
    <row r="114" ht="34.5" customHeight="1" s="36">
      <c r="D114" s="19" t="inlineStr">
        <is>
          <t>05  ES at 90% and uncertainty bands</t>
        </is>
      </c>
    </row>
    <row r="115" ht="34.5" customHeight="1" s="36">
      <c r="A115" s="17" t="inlineStr">
        <is>
          <t>T8</t>
        </is>
      </c>
      <c r="B115" s="18" t="inlineStr">
        <is>
          <t>EVT and GARCH</t>
        </is>
      </c>
      <c r="C115" s="18" t="inlineStr">
        <is>
          <t>GPD tail fit, a justified threshold choice, EVT-based VaR/ES, compared side by side with baseline VaR and ES; GARCH volatility modeling.</t>
        </is>
      </c>
      <c r="D115" s="19" t="inlineStr">
        <is>
          <t>01  Implement and diagnose conditional volatility (GARCH)</t>
        </is>
      </c>
      <c r="E115" s="18" t="inlineStr">
        <is>
          <t>Sujan</t>
        </is>
      </c>
      <c r="F115" s="18" t="inlineStr">
        <is>
          <t>Core ★</t>
        </is>
      </c>
      <c r="G115" s="18" t="inlineStr">
        <is>
          <t>In Progress</t>
        </is>
      </c>
      <c r="H115" s="20">
        <f>IFERROR(COUNTIFS(Subtasks!$B$5:$B$400,A115,Subtasks!$F$5:$F$400,"Done")/COUNTIF(Subtasks!$B$5:$B$400,A115),0)</f>
        <v/>
      </c>
      <c r="I115" s="18" t="inlineStr">
        <is>
          <t>Week 2</t>
        </is>
      </c>
      <c r="J115" s="21" t="n"/>
      <c r="K115" s="18" t="n"/>
      <c r="L115" s="18" t="inlineStr">
        <is>
          <t>Each method tested against a known answer (e.g. normal VaR = μ + zσ); 90/95/99 with uncertainty bands; assumption diagnostics reported</t>
        </is>
      </c>
    </row>
    <row r="116" ht="34.5" customHeight="1" s="36">
      <c r="D116" s="19" t="inlineStr">
        <is>
          <t>02  Select EVT/GPD exceedance threshold with justification</t>
        </is>
      </c>
    </row>
    <row r="117" ht="34.5" customHeight="1" s="36">
      <c r="D117" s="19" t="inlineStr">
        <is>
          <t>03  Fit tail distribution and test threshold sensitivity</t>
        </is>
      </c>
    </row>
    <row r="118" ht="34.5" customHeight="1" s="36">
      <c r="D118" s="19" t="inlineStr">
        <is>
          <t>04  Estimate EVT VaR and ES at high confidence</t>
        </is>
      </c>
    </row>
    <row r="119" ht="34.5" customHeight="1" s="36">
      <c r="D119" s="19" t="inlineStr">
        <is>
          <t>05  Compare GARCH/EVT and baseline estimates side by side</t>
        </is>
      </c>
    </row>
    <row r="120" ht="34.5" customHeight="1" s="36">
      <c r="D120" s="19" t="inlineStr">
        <is>
          <t>06  Record instability, model assumptions and sparse-tail caveats</t>
        </is>
      </c>
    </row>
    <row r="121" ht="34.5" customHeight="1" s="36">
      <c r="D121" s="19" t="inlineStr">
        <is>
          <t>07  Fit EVT on GARCH-filtered residuals (i.i.d. requirement)</t>
        </is>
      </c>
    </row>
    <row r="122" ht="34.5" customHeight="1" s="36">
      <c r="D122" s="19" t="inlineStr">
        <is>
          <t>08  Mean-excess and parameter-stability plots</t>
        </is>
      </c>
    </row>
    <row r="123" ht="34.5" customHeight="1" s="36">
      <c r="D123" s="19" t="inlineStr">
        <is>
          <t>09  Confidence intervals for ξ, β and EVT VaR/ES</t>
        </is>
      </c>
    </row>
    <row r="124" ht="34.5" customHeight="1" s="36">
      <c r="D124" s="19" t="inlineStr">
        <is>
          <t>10  Rule for EVT at 90% when the quantile falls below the threshold</t>
        </is>
      </c>
    </row>
    <row r="125" ht="34.5" customHeight="1" s="36">
      <c r="D125" s="19" t="inlineStr">
        <is>
          <t>11  Evaluate VaR/ES/EVT performance on stress windows (2008, 2020)</t>
        </is>
      </c>
    </row>
    <row r="126" ht="34.5" customHeight="1" s="36">
      <c r="D126" s="19" t="inlineStr">
        <is>
          <t>12  Feasibility frontier under ERP 3–6% and a resampled frontier</t>
        </is>
      </c>
    </row>
    <row r="127" ht="34.5" customHeight="1" s="36">
      <c r="A127" s="17" t="inlineStr">
        <is>
          <t>T9</t>
        </is>
      </c>
      <c r="B127" s="18" t="inlineStr">
        <is>
          <t>Risk budgeting</t>
        </is>
      </c>
      <c r="C127" s="18" t="inlineStr">
        <is>
          <t>Marginal and component VaR/ES per ETF, used to adjust position sizes.</t>
        </is>
      </c>
      <c r="D127" s="19" t="inlineStr">
        <is>
          <t>01  Define marginal and component VaR methodology</t>
        </is>
      </c>
      <c r="E127" s="18" t="inlineStr">
        <is>
          <t>Sujan</t>
        </is>
      </c>
      <c r="F127" s="18" t="inlineStr">
        <is>
          <t>Supporting</t>
        </is>
      </c>
      <c r="G127" s="18" t="inlineStr">
        <is>
          <t>Done</t>
        </is>
      </c>
      <c r="H127" s="20">
        <f>IFERROR(COUNTIFS(Subtasks!$B$5:$B$400,A127,Subtasks!$F$5:$F$400,"Done")/COUNTIF(Subtasks!$B$5:$B$400,A127),0)</f>
        <v/>
      </c>
      <c r="I127" s="18" t="inlineStr">
        <is>
          <t>Week 2</t>
        </is>
      </c>
      <c r="J127" s="21" t="n"/>
      <c r="K127" s="18" t="n"/>
      <c r="L127" s="18" t="inlineStr">
        <is>
          <t>Component VaR/ES sum to the total (test); risk-budget recommendation stated</t>
        </is>
      </c>
    </row>
    <row r="128" ht="34.5" customHeight="1" s="36">
      <c r="D128" s="19" t="inlineStr">
        <is>
          <t>02  Estimate ETF-level marginal VaR and ES contributions</t>
        </is>
      </c>
    </row>
    <row r="129" ht="34.5" customHeight="1" s="36">
      <c r="D129" s="19" t="inlineStr">
        <is>
          <t>03  Check contribution aggregation and approximations</t>
        </is>
      </c>
    </row>
    <row r="130" ht="34.5" customHeight="1" s="36">
      <c r="D130" s="19" t="inlineStr">
        <is>
          <t>04  Recommend position-size adjustments and rationale</t>
        </is>
      </c>
    </row>
    <row r="131" ht="34.5" customHeight="1" s="36">
      <c r="D131" s="19" t="inlineStr">
        <is>
          <t>05  Risk contribution vs capital weight chart</t>
        </is>
      </c>
    </row>
    <row r="132" ht="34.5" customHeight="1" s="36">
      <c r="D132" s="19" t="inlineStr">
        <is>
          <t>06  Set the component-ES concentration limit (draft: no ETF &gt; 40% of ES)</t>
        </is>
      </c>
    </row>
    <row r="133" ht="34.5" customHeight="1" s="36">
      <c r="A133" s="17" t="inlineStr">
        <is>
          <t>T10</t>
        </is>
      </c>
      <c r="B133" s="18" t="inlineStr">
        <is>
          <t>Backtesting</t>
        </is>
      </c>
      <c r="C133" s="18" t="inlineStr">
        <is>
          <t>Out-of-sample rolling test of the chosen VaR model: Kupiec, Christoffersen, Basel traffic light.</t>
        </is>
      </c>
      <c r="D133" s="19" t="inlineStr">
        <is>
          <t>01  Define chronological out-of-sample rolling window</t>
        </is>
      </c>
      <c r="E133" s="18" t="inlineStr">
        <is>
          <t>Malindu</t>
        </is>
      </c>
      <c r="F133" s="18" t="inlineStr">
        <is>
          <t>Core ★</t>
        </is>
      </c>
      <c r="G133" s="18" t="inlineStr">
        <is>
          <t>Done</t>
        </is>
      </c>
      <c r="H133" s="20">
        <f>IFERROR(COUNTIFS(Subtasks!$B$5:$B$400,A133,Subtasks!$F$5:$F$400,"Done")/COUNTIF(Subtasks!$B$5:$B$400,A133),0)</f>
        <v/>
      </c>
      <c r="I133" s="18" t="inlineStr">
        <is>
          <t>Weeks 2–3</t>
        </is>
      </c>
      <c r="J133" s="21" t="n"/>
      <c r="K133" s="18" t="n"/>
      <c r="L133" s="18" t="inlineStr">
        <is>
          <t>Forecasts use data ≤ t−1 (leakage test); Kupiec/Christoffersen match textbook examples; model chosen on validation, test run once</t>
        </is>
      </c>
    </row>
    <row r="134" ht="34.5" customHeight="1" s="36">
      <c r="D134" s="19" t="inlineStr">
        <is>
          <t>02  Produce date-aligned VaR forecasts without look-ahead</t>
        </is>
      </c>
    </row>
    <row r="135" ht="34.5" customHeight="1" s="36">
      <c r="D135" s="19" t="inlineStr">
        <is>
          <t>03  Count exceptions against the chosen confidence level</t>
        </is>
      </c>
    </row>
    <row r="136" ht="34.5" customHeight="1" s="36">
      <c r="D136" s="19" t="inlineStr">
        <is>
          <t>04  Perform Kupiec unconditional coverage test</t>
        </is>
      </c>
    </row>
    <row r="137" ht="34.5" customHeight="1" s="36">
      <c r="D137" s="19" t="inlineStr">
        <is>
          <t>05  Perform Christoffersen independence/coverage tests</t>
        </is>
      </c>
    </row>
    <row r="138" ht="34.5" customHeight="1" s="36">
      <c r="D138" s="19" t="inlineStr">
        <is>
          <t>06  Apply Basel traffic light only for appropriate VaR settings</t>
        </is>
      </c>
    </row>
    <row r="139" ht="34.5" customHeight="1" s="36">
      <c r="D139" s="19" t="inlineStr">
        <is>
          <t>07  Choose the model on validation data only; freeze before test</t>
        </is>
      </c>
    </row>
    <row r="140" ht="34.5" customHeight="1" s="36">
      <c r="D140" s="19" t="inlineStr">
        <is>
          <t>08  Backtest each method and candidate, not only the chosen one</t>
        </is>
      </c>
    </row>
    <row r="141" ht="34.5" customHeight="1" s="36">
      <c r="D141" s="19" t="inlineStr">
        <is>
          <t>09  Window-length sensitivity (500 vs 1000 days)</t>
        </is>
      </c>
    </row>
    <row r="142" ht="34.5" customHeight="1" s="36">
      <c r="D142" s="19" t="inlineStr">
        <is>
          <t>10  Recompute tests for any user-selected date range (for the app)</t>
        </is>
      </c>
    </row>
    <row r="143" ht="34.5" customHeight="1" s="36">
      <c r="D143" s="19" t="inlineStr">
        <is>
          <t>11  ES / tail-severity check on exceptions</t>
        </is>
      </c>
    </row>
    <row r="144" ht="34.5" customHeight="1" s="36">
      <c r="D144" s="19" t="inlineStr">
        <is>
          <t>12  Out-of-sample check of D7 limits (set on train, test on held-out)</t>
        </is>
      </c>
    </row>
    <row r="145" ht="34.5" customHeight="1" s="36">
      <c r="A145" s="17" t="inlineStr">
        <is>
          <t>T11</t>
        </is>
      </c>
      <c r="B145" s="18" t="inlineStr">
        <is>
          <t>Stress testing</t>
        </is>
      </c>
      <c r="C145" s="18" t="inlineStr">
        <is>
          <t>Portfolio impact in 2008, COVID 2020 and 2022, plus one hypothetical scenario we design.</t>
        </is>
      </c>
      <c r="D145" s="19" t="inlineStr">
        <is>
          <t>01  Define precise 2008, COVID 2020 and 2022 periods</t>
        </is>
      </c>
      <c r="E145" s="18" t="inlineStr">
        <is>
          <t>Dewmini</t>
        </is>
      </c>
      <c r="F145" s="18" t="inlineStr">
        <is>
          <t>Core ★</t>
        </is>
      </c>
      <c r="G145" s="18" t="inlineStr">
        <is>
          <t>In Progress</t>
        </is>
      </c>
      <c r="H145" s="20">
        <f>IFERROR(COUNTIFS(Subtasks!$B$5:$B$400,A145,Subtasks!$F$5:$F$400,"Done")/COUNTIF(Subtasks!$B$5:$B$400,A145),0)</f>
        <v/>
      </c>
      <c r="I145" s="18" t="inlineStr">
        <is>
          <t>Weeks 2–3</t>
        </is>
      </c>
      <c r="J145" s="21" t="n"/>
      <c r="K145" s="18" t="n"/>
      <c r="L145" s="18" t="inlineStr">
        <is>
          <t>Every scenario defined with dates/sources; losses in USD and % NAV; checked against D7</t>
        </is>
      </c>
    </row>
    <row r="146" ht="34.5" customHeight="1" s="36">
      <c r="D146" s="19" t="inlineStr">
        <is>
          <t>02  Recalculate portfolio performance in historical windows</t>
        </is>
      </c>
    </row>
    <row r="147" ht="34.5" customHeight="1" s="36">
      <c r="D147" s="19" t="inlineStr">
        <is>
          <t>03  Design one plausible hypothetical macro/market shock</t>
        </is>
      </c>
    </row>
    <row r="148" ht="34.5" customHeight="1" s="36">
      <c r="D148" s="19" t="inlineStr">
        <is>
          <t>04  Estimate ETF reactions and document assumptions</t>
        </is>
      </c>
    </row>
    <row r="149" ht="34.5" customHeight="1" s="36">
      <c r="D149" s="19" t="inlineStr">
        <is>
          <t>05  Summarize losses, vulnerabilities and possible adjustments</t>
        </is>
      </c>
    </row>
    <row r="150" ht="34.5" customHeight="1" s="36">
      <c r="D150" s="19" t="inlineStr">
        <is>
          <t>06  Asset-level stress attribution: which ETFs drive the loss</t>
        </is>
      </c>
    </row>
    <row r="151" ht="34.5" customHeight="1" s="36">
      <c r="D151" s="19" t="inlineStr">
        <is>
          <t>07  Correlation / joint losses under stress vs calm</t>
        </is>
      </c>
    </row>
    <row r="152" ht="34.5" customHeight="1" s="36">
      <c r="D152" s="19" t="inlineStr">
        <is>
          <t>08  AGG rate sensitivity estimated from DGS10 (no external duration data)</t>
        </is>
      </c>
    </row>
    <row r="153" ht="34.5" customHeight="1" s="36">
      <c r="D153" s="19" t="inlineStr">
        <is>
          <t>09  ETF liquidity under stress (e.g. AGG −7.1% on 2008-10-10)</t>
        </is>
      </c>
    </row>
    <row r="154" ht="34.5" customHeight="1" s="36">
      <c r="D154" s="19" t="inlineStr">
        <is>
          <t>10  Check every scenario against client risk limits</t>
        </is>
      </c>
    </row>
    <row r="155" ht="34.5" customHeight="1" s="36">
      <c r="D155" s="19" t="inlineStr">
        <is>
          <t>11  Optional: longer-history crises via disclosed proxies (2000–02, 1994)</t>
        </is>
      </c>
    </row>
    <row r="156" ht="34.5" customHeight="1" s="36">
      <c r="D156" s="19" t="inlineStr">
        <is>
          <t>12  Research current macro/market vulnerabilities (oil, Fed, yields, credit, USD, AI valuations, stock–bond correlation)</t>
        </is>
      </c>
    </row>
    <row r="157" ht="34.5" customHeight="1" s="36">
      <c r="D157" s="19" t="inlineStr">
        <is>
          <t>13  Compare candidate hypothetical scenarios (energy stagflation, AI unwind/recession, term premium, EM/USD)</t>
        </is>
      </c>
    </row>
    <row r="158" ht="34.5" customHeight="1" s="36">
      <c r="D158" s="19" t="inlineStr">
        <is>
          <t>14  Download and disclose new FRED stress factors (DFII10, BAA10Y, Brent/WTI, DTWEXBGS, VIXCLS, DGS2)</t>
        </is>
      </c>
    </row>
    <row r="159" ht="34.5" customHeight="1" s="36">
      <c r="D159" s="19" t="inlineStr">
        <is>
          <t>15  Calibrate central and severe factor shocks from history, current levels and published scenarios</t>
        </is>
      </c>
    </row>
    <row r="160" ht="34.5" customHeight="1" s="36">
      <c r="D160" s="19" t="inlineStr">
        <is>
          <t>16  Six-factor ETF response model: full vs stress betas, SEs; reject unconditional oil→equity mapping</t>
        </is>
      </c>
    </row>
    <row r="161" ht="34.5" customHeight="1" s="36">
      <c r="D161" s="19" t="inlineStr">
        <is>
          <t>17  Validate factor model by back-casting six episodes (2008, 2020, 2022, Mar 2026)</t>
        </is>
      </c>
    </row>
    <row r="162" ht="34.5" customHeight="1" s="36">
      <c r="D162" s="19" t="inlineStr">
        <is>
          <t>18  Implement validation/hypothetical.py (panel, betas, back-cast, shocks, instant impact)</t>
        </is>
      </c>
    </row>
    <row r="163" ht="34.5" customHeight="1" s="36">
      <c r="D163" s="19" t="inlineStr">
        <is>
          <t>19  12-month scenario path: quarterly rebalancing, costs, D24 spending, liquidity</t>
        </is>
      </c>
    </row>
    <row r="164" ht="34.5" customHeight="1" s="36">
      <c r="D164" s="19" t="inlineStr">
        <is>
          <t>20  Robustness: Monte Carlo over shock ranges and beta SEs; one-at-a-time; XLE/GLD variants</t>
        </is>
      </c>
    </row>
    <row r="165" ht="34.5" customHeight="1" s="36">
      <c r="D165" s="19" t="inlineStr">
        <is>
          <t>21  Scenario-conditional VaR (GARCH-EVT scaled by stressed volatility) vs D7/D23 triggers</t>
        </is>
      </c>
    </row>
    <row r="166" ht="34.5" customHeight="1" s="36">
      <c r="D166" s="19" t="inlineStr">
        <is>
          <t>22  Stress page: scenario/severity selector, factor sliders, contribution waterfall, path chart</t>
        </is>
      </c>
    </row>
    <row r="167" ht="34.5" customHeight="1" s="36">
      <c r="D167" s="19" t="inlineStr">
        <is>
          <t>23  Feed severe-scenario loss and headroom into memo and T20 decision (gold/XLE hedge test in T4.25)</t>
        </is>
      </c>
    </row>
    <row r="168" ht="34.5" customHeight="1" s="36">
      <c r="A168" s="17" t="inlineStr">
        <is>
          <t>T12</t>
        </is>
      </c>
      <c r="B168" s="18" t="inlineStr">
        <is>
          <t>Macro and industry risk analysis (optional)</t>
        </is>
      </c>
      <c r="C168" s="18" t="inlineStr">
        <is>
          <t>Key macro risks (rates, inflation, oil, geopolitics) and their impact on the portfolio, feeding the hypothetical scenario.</t>
        </is>
      </c>
      <c r="D168" s="19" t="inlineStr">
        <is>
          <t>01  Identify the important rates, inflation, oil and geopolitical exposures</t>
        </is>
      </c>
      <c r="E168" s="18" t="inlineStr">
        <is>
          <t>Malindu</t>
        </is>
      </c>
      <c r="F168" s="18" t="inlineStr">
        <is>
          <t>Optional</t>
        </is>
      </c>
      <c r="G168" s="18" t="inlineStr">
        <is>
          <t>Not Started</t>
        </is>
      </c>
      <c r="H168" s="20">
        <f>IFERROR(COUNTIFS(Subtasks!$B$5:$B$400,A168,Subtasks!$F$5:$F$400,"Done")/COUNTIF(Subtasks!$B$5:$B$400,A168),0)</f>
        <v/>
      </c>
      <c r="I168" s="18" t="inlineStr">
        <is>
          <t>Week 3</t>
        </is>
      </c>
      <c r="J168" s="21" t="n"/>
      <c r="K168" s="18" t="n"/>
      <c r="L168" s="18" t="inlineStr">
        <is>
          <t>Optional: kept only if validated against a baseline and logged in INNOVATION_LOG</t>
        </is>
      </c>
    </row>
    <row r="169" ht="34.5" customHeight="1" s="36">
      <c r="D169" s="19" t="inlineStr">
        <is>
          <t>02  Research ETF sensitivity to recession and policy shocks</t>
        </is>
      </c>
    </row>
    <row r="170" ht="34.5" customHeight="1" s="36">
      <c r="D170" s="19" t="inlineStr">
        <is>
          <t>03  Connect industry exposures with the chosen shock scenario</t>
        </is>
      </c>
    </row>
    <row r="171" ht="34.5" customHeight="1" s="36">
      <c r="D171" s="19" t="inlineStr">
        <is>
          <t>04  Write macro-risk notes for the report and stress test</t>
        </is>
      </c>
    </row>
    <row r="172" ht="34.5" customHeight="1" s="36">
      <c r="D172" s="19" t="inlineStr">
        <is>
          <t>05  Macro context from World Bank / IMF open data only</t>
        </is>
      </c>
    </row>
    <row r="173" ht="34.5" customHeight="1" s="36">
      <c r="A173" s="17" t="inlineStr">
        <is>
          <t>T13</t>
        </is>
      </c>
      <c r="B173" s="18" t="inlineStr">
        <is>
          <t>Innovation extension</t>
        </is>
      </c>
      <c r="C173" s="18" t="inlineStr">
        <is>
          <t>One well-justified extra (e.g. regime blend, GARCH-EVT, multi-scale correlation).</t>
        </is>
      </c>
      <c r="D173" s="19" t="inlineStr">
        <is>
          <t>01  Choose one additional model and state a testable hypothesis</t>
        </is>
      </c>
      <c r="E173" s="18" t="inlineStr">
        <is>
          <t>Sujan</t>
        </is>
      </c>
      <c r="F173" s="18" t="inlineStr">
        <is>
          <t>Optional</t>
        </is>
      </c>
      <c r="G173" s="18" t="inlineStr">
        <is>
          <t>Not Started</t>
        </is>
      </c>
      <c r="H173" s="20">
        <f>IFERROR(COUNTIFS(Subtasks!$B$5:$B$400,A173,Subtasks!$F$5:$F$400,"Done")/COUNTIF(Subtasks!$B$5:$B$400,A173),0)</f>
        <v/>
      </c>
      <c r="I173" s="18" t="inlineStr">
        <is>
          <t>Week 3</t>
        </is>
      </c>
      <c r="J173" s="21" t="n"/>
      <c r="K173" s="18" t="n"/>
      <c r="L173" s="18" t="inlineStr">
        <is>
          <t>Optional: kept only if validated against a baseline and logged in INNOVATION_LOG</t>
        </is>
      </c>
    </row>
    <row r="174" ht="34.5" customHeight="1" s="36">
      <c r="D174" s="19" t="inlineStr">
        <is>
          <t>02  Specify the method and baseline comparison fairly</t>
        </is>
      </c>
    </row>
    <row r="175" ht="34.5" customHeight="1" s="36">
      <c r="D175" s="19" t="inlineStr">
        <is>
          <t>03  Implement innovation without future-data leakage</t>
        </is>
      </c>
    </row>
    <row r="176" ht="34.5" customHeight="1" s="36">
      <c r="D176" s="19" t="inlineStr">
        <is>
          <t>04  Backtest innovation and compare standalone methods</t>
        </is>
      </c>
    </row>
    <row r="177" ht="34.5" customHeight="1" s="36">
      <c r="D177" s="19" t="inlineStr">
        <is>
          <t>05  Report gains, failures, limitations and overfitting concerns</t>
        </is>
      </c>
    </row>
    <row r="178" ht="34.5" customHeight="1" s="36">
      <c r="D178" s="19" t="inlineStr">
        <is>
          <t>06  Agree the innovation set (rec. #12) and wavelets decision (rec. #13)</t>
        </is>
      </c>
    </row>
    <row r="179" ht="34.5" customHeight="1" s="36">
      <c r="D179" s="19" t="inlineStr">
        <is>
          <t>07  Evaluate conditional drawdown-at-risk (CDaR) optimisation as innovation</t>
        </is>
      </c>
    </row>
    <row r="180" ht="34.5" customHeight="1" s="36">
      <c r="A180" s="17" t="inlineStr">
        <is>
          <t>T14</t>
        </is>
      </c>
      <c r="B180" s="18" t="inlineStr">
        <is>
          <t>Streamlit app</t>
        </is>
      </c>
      <c r="C180" s="18" t="inlineStr">
        <is>
          <t>Sidebar (confidence 90/95/99, VaR method, backtest dates), portfolio panel (weights, cumulative return, drawdown), risk dashboard (VaR, ES, EVT side by side), backtest panel with traffic light, stress panel, Assumptions page.</t>
        </is>
      </c>
      <c r="D180" s="19" t="inlineStr">
        <is>
          <t>01  Build sidebar: confidence 90/95/99, method and backtest dates</t>
        </is>
      </c>
      <c r="E180" s="18" t="inlineStr">
        <is>
          <t>Malindu</t>
        </is>
      </c>
      <c r="F180" s="18" t="inlineStr">
        <is>
          <t>Core ★</t>
        </is>
      </c>
      <c r="G180" s="18" t="inlineStr">
        <is>
          <t>In Progress</t>
        </is>
      </c>
      <c r="H180" s="20">
        <f>IFERROR(COUNTIFS(Subtasks!$B$5:$B$400,A180,Subtasks!$F$5:$F$400,"Done")/COUNTIF(Subtasks!$B$5:$B$400,A180),0)</f>
        <v/>
      </c>
      <c r="I180" s="18" t="inlineStr">
        <is>
          <t>Weeks 2–3</t>
        </is>
      </c>
      <c r="J180" s="21" t="n"/>
      <c r="K180" s="18" t="n"/>
      <c r="L180" s="18" t="inlineStr">
        <is>
          <t>Every brief p.5–6 panel present; app reads outputs only; runs with one command</t>
        </is>
      </c>
    </row>
    <row r="181" ht="34.5" customHeight="1" s="36">
      <c r="D181" s="19" t="inlineStr">
        <is>
          <t>02  Build ETF weights and cumulative return portfolio panel</t>
        </is>
      </c>
    </row>
    <row r="182" ht="34.5" customHeight="1" s="36">
      <c r="D182" s="19" t="inlineStr">
        <is>
          <t>03  Add drawdown figure and KPI section</t>
        </is>
      </c>
    </row>
    <row r="183" ht="34.5" customHeight="1" s="36">
      <c r="D183" s="19" t="inlineStr">
        <is>
          <t>04  Create VaR/ES/EVT side-by-side risk dashboard</t>
        </is>
      </c>
    </row>
    <row r="184" ht="34.5" customHeight="1" s="36">
      <c r="D184" s="19" t="inlineStr">
        <is>
          <t>05  Build backtesting results and traffic-light panel</t>
        </is>
      </c>
    </row>
    <row r="185" ht="34.5" customHeight="1" s="36">
      <c r="D185" s="19" t="inlineStr">
        <is>
          <t>06  Build historical/hypothetical stress visualization</t>
        </is>
      </c>
    </row>
    <row r="186" ht="34.5" customHeight="1" s="36">
      <c r="D186" s="19" t="inlineStr">
        <is>
          <t>07  Add Assumptions page and test app interactions</t>
        </is>
      </c>
    </row>
    <row r="187" ht="34.5" customHeight="1" s="36">
      <c r="D187" s="19" t="inlineStr">
        <is>
          <t>08  Shared loader: app reads outputs only, cached; no model code in UI</t>
        </is>
      </c>
    </row>
    <row r="188" ht="34.5" customHeight="1" s="36">
      <c r="D188" s="19" t="inlineStr">
        <is>
          <t>09  Decision &amp; tear-sheet page (P3, limits, monitoring triggers)</t>
        </is>
      </c>
    </row>
    <row r="189" ht="34.5" customHeight="1" s="36">
      <c r="D189" s="19" t="inlineStr">
        <is>
          <t>10  AI disclosure &amp; sources page</t>
        </is>
      </c>
    </row>
    <row r="190" ht="34.5" customHeight="1" s="36">
      <c r="D190" s="19" t="inlineStr">
        <is>
          <t>11  Export &amp; reproducibility page (CSV/figures download)</t>
        </is>
      </c>
    </row>
    <row r="191" ht="34.5" customHeight="1" s="36">
      <c r="D191" s="19" t="inlineStr">
        <is>
          <t>12  Plain-language labels for a non-technical committee (units, horizon on every number)</t>
        </is>
      </c>
    </row>
    <row r="192" ht="34.5" customHeight="1" s="36">
      <c r="D192" s="19" t="inlineStr">
        <is>
          <t>13  What-if sliders on decision page: spending, growth, costs, ERP → required return, gap, sustainable spending</t>
        </is>
      </c>
    </row>
    <row r="193" ht="34.5" customHeight="1" s="36">
      <c r="A193" s="17" t="inlineStr">
        <is>
          <t>T15</t>
        </is>
      </c>
      <c r="B193" s="18" t="inlineStr">
        <is>
          <t>Assumptions and Limitations</t>
        </is>
      </c>
      <c r="C193" s="18" t="inlineStr">
        <is>
          <t>A plain-language page in the app and a section in the report, stating what the model does not capture.</t>
        </is>
      </c>
      <c r="D193" s="19" t="inlineStr">
        <is>
          <t>01  Document data universe, dates, sourcing and limitations</t>
        </is>
      </c>
      <c r="E193" s="18" t="inlineStr">
        <is>
          <t>Raveena + Dewmini</t>
        </is>
      </c>
      <c r="F193" s="18" t="inlineStr">
        <is>
          <t>Core ★</t>
        </is>
      </c>
      <c r="G193" s="18" t="inlineStr">
        <is>
          <t>In Progress</t>
        </is>
      </c>
      <c r="H193" s="20">
        <f>IFERROR(COUNTIFS(Subtasks!$B$5:$B$400,A193,Subtasks!$F$5:$F$400,"Done")/COUNTIF(Subtasks!$B$5:$B$400,A193),0)</f>
        <v/>
      </c>
      <c r="I193" s="18" t="inlineStr">
        <is>
          <t>Week 3</t>
        </is>
      </c>
      <c r="J193" s="21" t="n"/>
      <c r="K193" s="18" t="n"/>
      <c r="L193" s="18" t="inlineStr">
        <is>
          <t>App page and report section generated from ASSUMPTIONS_LIMITATIONS.md</t>
        </is>
      </c>
    </row>
    <row r="194" ht="34.5" customHeight="1" s="36">
      <c r="D194" s="19" t="inlineStr">
        <is>
          <t>02  Explain distribution, volatility and dependence assumptions</t>
        </is>
      </c>
    </row>
    <row r="195" ht="34.5" customHeight="1" s="36">
      <c r="D195" s="19" t="inlineStr">
        <is>
          <t>03  Explain unseen shocks, low liquidity and tail-data scarcity</t>
        </is>
      </c>
    </row>
    <row r="196" ht="34.5" customHeight="1" s="36">
      <c r="D196" s="19" t="inlineStr">
        <is>
          <t>04  Clarify what backtesting can and cannot establish</t>
        </is>
      </c>
    </row>
    <row r="197" ht="34.5" customHeight="1" s="36">
      <c r="D197" s="19" t="inlineStr">
        <is>
          <t>05  Ensure app and report state identical assumptions</t>
        </is>
      </c>
    </row>
    <row r="198" ht="34.5" customHeight="1" s="36">
      <c r="D198" s="19" t="inlineStr">
        <is>
          <t>06  Add return-objective, benchmark and risk-limit assumptions (CAPM gold, rf level, ERP, USD spending, tax, in-sample calibration)</t>
        </is>
      </c>
    </row>
    <row r="199" ht="34.5" customHeight="1" s="36">
      <c r="A199" s="17" t="inlineStr">
        <is>
          <t>T16</t>
        </is>
      </c>
      <c r="B199" s="18" t="inlineStr">
        <is>
          <t>Written deliverables</t>
        </is>
      </c>
      <c r="C199" s="18" t="inlineStr">
        <is>
          <t>Technical report (7 to 15 pages), one-page tear sheet, one-page investment committee memo (accept, adjust the risk limit, or reject).</t>
        </is>
      </c>
      <c r="D199" s="19" t="inlineStr">
        <is>
          <t>01  Outline 7–15 page technical report based on actual results</t>
        </is>
      </c>
      <c r="E199" s="18" t="inlineStr">
        <is>
          <t>Raveena</t>
        </is>
      </c>
      <c r="F199" s="18" t="inlineStr">
        <is>
          <t>Core ★</t>
        </is>
      </c>
      <c r="G199" s="18" t="inlineStr">
        <is>
          <t>Not Started</t>
        </is>
      </c>
      <c r="H199" s="20">
        <f>IFERROR(COUNTIFS(Subtasks!$B$5:$B$400,A199,Subtasks!$F$5:$F$400,"Done")/COUNTIF(Subtasks!$B$5:$B$400,A199),0)</f>
        <v/>
      </c>
      <c r="I199" s="18" t="inlineStr">
        <is>
          <t>Week 3</t>
        </is>
      </c>
      <c r="J199" s="21" t="n"/>
      <c r="K199" s="18" t="n"/>
      <c r="L199" s="18" t="inlineStr">
        <is>
          <t>Every number traces to outputs/; report 7–15 pp; tear sheet and memo one page each</t>
        </is>
      </c>
    </row>
    <row r="200" ht="34.5" customHeight="1" s="36">
      <c r="D200" s="19" t="inlineStr">
        <is>
          <t>02  Complete methods, evidence, tests and limitations writeup</t>
        </is>
      </c>
    </row>
    <row r="201" ht="34.5" customHeight="1" s="36">
      <c r="D201" s="19" t="inlineStr">
        <is>
          <t>03  Create concise one-page portfolio tear sheet</t>
        </is>
      </c>
    </row>
    <row r="202" ht="34.5" customHeight="1" s="36">
      <c r="D202" s="19" t="inlineStr">
        <is>
          <t>04  Write one-page investment committee decision memo</t>
        </is>
      </c>
    </row>
    <row r="203" ht="34.5" customHeight="1" s="36">
      <c r="D203" s="19" t="inlineStr">
        <is>
          <t>05  Cross-check all numbers between report, memo and app</t>
        </is>
      </c>
    </row>
    <row r="204" ht="34.5" customHeight="1" s="36">
      <c r="D204" s="19" t="inlineStr">
        <is>
          <t>06  Data sources and cleaning steps section</t>
        </is>
      </c>
    </row>
    <row r="205" ht="34.5" customHeight="1" s="36">
      <c r="D205" s="19" t="inlineStr">
        <is>
          <t>07  Report sections: return objective &amp; sustainable spending; benchmark and risk-limit research (appendix)</t>
        </is>
      </c>
    </row>
    <row r="206" ht="34.5" customHeight="1" s="36">
      <c r="A206" s="17" t="inlineStr">
        <is>
          <t>T17</t>
        </is>
      </c>
      <c r="B206" s="18" t="inlineStr">
        <is>
          <t>Repository and reproducibility</t>
        </is>
      </c>
      <c r="C206" s="18" t="inlineStr">
        <is>
          <t>Documented GitHub repo, README, app runs with one command, tested on a clean computer.</t>
        </is>
      </c>
      <c r="D206" s="19" t="inlineStr">
        <is>
          <t>01  Finalize organized, documented GitHub repository</t>
        </is>
      </c>
      <c r="E206" s="18" t="inlineStr">
        <is>
          <t>Malindu</t>
        </is>
      </c>
      <c r="F206" s="18" t="inlineStr">
        <is>
          <t>Core ★</t>
        </is>
      </c>
      <c r="G206" s="18" t="inlineStr">
        <is>
          <t>In Progress</t>
        </is>
      </c>
      <c r="H206" s="20">
        <f>IFERROR(COUNTIFS(Subtasks!$B$5:$B$400,A206,Subtasks!$F$5:$F$400,"Done")/COUNTIF(Subtasks!$B$5:$B$400,A206),0)</f>
        <v/>
      </c>
      <c r="I206" s="18" t="inlineStr">
        <is>
          <t>Week 3</t>
        </is>
      </c>
      <c r="J206" s="21" t="n"/>
      <c r="K206" s="18" t="n"/>
      <c r="L206" s="18" t="inlineStr">
        <is>
          <t>Fresh clone + `pip install -r requirements.txt` + `python run_all.py --app` works on a clean machine</t>
        </is>
      </c>
    </row>
    <row r="207" ht="34.5" customHeight="1" s="36">
      <c r="D207" s="19" t="inlineStr">
        <is>
          <t>02  Pin package versions and supply reproducible setup</t>
        </is>
      </c>
    </row>
    <row r="208" ht="34.5" customHeight="1" s="36">
      <c r="D208" s="19" t="inlineStr">
        <is>
          <t>03  Provide one-command Streamlit run instructions</t>
        </is>
      </c>
    </row>
    <row r="209" ht="34.5" customHeight="1" s="36">
      <c r="D209" s="19" t="inlineStr">
        <is>
          <t>04  Test clean installation and reproduce key results</t>
        </is>
      </c>
    </row>
    <row r="210" ht="34.5" customHeight="1" s="36">
      <c r="D210" s="19" t="inlineStr">
        <is>
          <t>05  Log reproducibility evidence and known environment issues</t>
        </is>
      </c>
    </row>
    <row r="211" ht="34.5" customHeight="1" s="36">
      <c r="D211" s="19" t="inlineStr">
        <is>
          <t>06  Decide which reference files to publish (third-party decks)</t>
        </is>
      </c>
    </row>
    <row r="212" ht="34.5" customHeight="1" s="36">
      <c r="D212" s="19" t="inlineStr">
        <is>
          <t>07  Optional: deploy to Streamlit Community Cloud</t>
        </is>
      </c>
    </row>
    <row r="213" ht="34.5" customHeight="1" s="36">
      <c r="D213" s="19" t="inlineStr">
        <is>
          <t>08  First git commit and judge-accessible GitHub remote</t>
        </is>
      </c>
    </row>
    <row r="214" ht="34.5" customHeight="1" s="36">
      <c r="D214" s="19" t="inlineStr">
        <is>
          <t>09  Make research evidence reproducible from the one-command run (run_all --research)</t>
        </is>
      </c>
    </row>
    <row r="215" ht="34.5" customHeight="1" s="36">
      <c r="A215" s="17" t="inlineStr">
        <is>
          <t>T18</t>
        </is>
      </c>
      <c r="B215" s="18" t="inlineStr">
        <is>
          <t>AI disclosure and validation log</t>
        </is>
      </c>
      <c r="C215" s="18" t="inlineStr">
        <is>
          <t>Table of AI tools used, purpose, how we checked the output, and which parts were AI-generated.</t>
        </is>
      </c>
      <c r="D215" s="19" t="inlineStr">
        <is>
          <t>01  Keep a running list of AI tools and their purposes</t>
        </is>
      </c>
      <c r="E215" s="18" t="inlineStr">
        <is>
          <t>Malindu</t>
        </is>
      </c>
      <c r="F215" s="18" t="inlineStr">
        <is>
          <t>Core ★</t>
        </is>
      </c>
      <c r="G215" s="18" t="inlineStr">
        <is>
          <t>In Progress</t>
        </is>
      </c>
      <c r="H215" s="20">
        <f>IFERROR(COUNTIFS(Subtasks!$B$5:$B$400,A215,Subtasks!$F$5:$F$400,"Done")/COUNTIF(Subtasks!$B$5:$B$400,A215),0)</f>
        <v/>
      </c>
      <c r="I215" s="18" t="inlineStr">
        <is>
          <t>Ongoing</t>
        </is>
      </c>
      <c r="J215" s="21" t="n"/>
      <c r="K215" s="18" t="n"/>
      <c r="L215" s="18" t="inlineStr">
        <is>
          <t>Disclosure in the brief's 4 columns; every validation-log row signed by a team member</t>
        </is>
      </c>
    </row>
    <row r="216" ht="34.5" customHeight="1" s="36">
      <c r="D216" s="19" t="inlineStr">
        <is>
          <t>02  Record which code, figures or text used AI assistance</t>
        </is>
      </c>
    </row>
    <row r="217" ht="34.5" customHeight="1" s="36">
      <c r="D217" s="19" t="inlineStr">
        <is>
          <t>03  Document manual verification, corrections and tests</t>
        </is>
      </c>
    </row>
    <row r="218" ht="34.5" customHeight="1" s="36">
      <c r="D218" s="19" t="inlineStr">
        <is>
          <t>04  Review completeness of the log before submission</t>
        </is>
      </c>
    </row>
    <row r="219" ht="34.5" customHeight="1" s="36">
      <c r="D219" s="19" t="inlineStr">
        <is>
          <t>05  Use the brief's four disclosure columns exactly</t>
        </is>
      </c>
    </row>
    <row r="220" ht="34.5" customHeight="1" s="36">
      <c r="D220" s="19" t="inlineStr">
        <is>
          <t>06  Every member can explain each module (judging rule)</t>
        </is>
      </c>
    </row>
    <row r="221" ht="34.5" customHeight="1" s="36">
      <c r="D221" s="19" t="inlineStr">
        <is>
          <t>07  Record Claude Code use to date in the brief's four columns (tool, purpose, human validation, material components)</t>
        </is>
      </c>
    </row>
    <row r="222" ht="34.5" customHeight="1" s="36">
      <c r="D222" s="19" t="inlineStr">
        <is>
          <t>08  Team sign-off of every HUMAN_VALIDATION_LOG entry (9 unsigned on 2026-10-28)</t>
        </is>
      </c>
    </row>
    <row r="223" ht="34.5" customHeight="1" s="36">
      <c r="A223" s="17" t="inlineStr">
        <is>
          <t>T19</t>
        </is>
      </c>
      <c r="B223" s="18" t="inlineStr">
        <is>
          <t>Pitch and Q&amp;A prep</t>
        </is>
      </c>
      <c r="C223" s="18" t="inlineStr">
        <is>
          <t>10 to 12 minute deck, plus practice answering judges’ questions (only if we reach the final 5).</t>
        </is>
      </c>
      <c r="D223" s="19" t="inlineStr">
        <is>
          <t>01  Create a 10–12 minute presentation storyline and deck</t>
        </is>
      </c>
      <c r="E223" s="18" t="inlineStr">
        <is>
          <t>All members</t>
        </is>
      </c>
      <c r="F223" s="18" t="inlineStr">
        <is>
          <t>Conditional</t>
        </is>
      </c>
      <c r="G223" s="18" t="inlineStr">
        <is>
          <t>Not Started</t>
        </is>
      </c>
      <c r="H223" s="20">
        <f>IFERROR(COUNTIFS(Subtasks!$B$5:$B$400,A223,Subtasks!$F$5:$F$400,"Done")/COUNTIF(Subtasks!$B$5:$B$400,A223),0)</f>
        <v/>
      </c>
      <c r="I223" s="18" t="inlineStr">
        <is>
          <t>If finalist</t>
        </is>
      </c>
      <c r="J223" s="21" t="n"/>
      <c r="K223" s="18" t="n"/>
      <c r="L223" s="18" t="inlineStr">
        <is>
          <t>Only if finalist: 10–12 min deck rehearsed; Q&amp;A bank covers assumptions, VaR, crisis results</t>
        </is>
      </c>
    </row>
    <row r="224" ht="34.5" customHeight="1" s="36">
      <c r="D224" s="19" t="inlineStr">
        <is>
          <t>02  Assign presenters and rehearse timing</t>
        </is>
      </c>
    </row>
    <row r="225" ht="34.5" customHeight="1" s="36">
      <c r="D225" s="19" t="inlineStr">
        <is>
          <t>03  Prepare judges’ Q&amp;A on assumptions, VaR and crisis results</t>
        </is>
      </c>
    </row>
    <row r="226" ht="34.5" customHeight="1" s="36">
      <c r="D226" s="19" t="inlineStr">
        <is>
          <t>04  Run mock Q&amp;A and refine explanations</t>
        </is>
      </c>
    </row>
    <row r="227" ht="34.5" customHeight="1" s="36">
      <c r="A227" s="17" t="inlineStr">
        <is>
          <t>T20</t>
        </is>
      </c>
      <c r="B227" s="18" t="inlineStr">
        <is>
          <t>Decision gate &amp; final recommendation (P3)</t>
        </is>
      </c>
      <c r="C227" s="18" t="inlineStr">
        <is>
          <t>Decision gate &amp; final recommendation (P3)</t>
        </is>
      </c>
      <c r="D227" s="19" t="inlineStr">
        <is>
          <t>01  Assemble committee evidence: six panels (allocation, return, loss limit, tail, model trust, governance)</t>
        </is>
      </c>
      <c r="E227" s="18" t="inlineStr">
        <is>
          <t>All members</t>
        </is>
      </c>
      <c r="F227" s="18" t="inlineStr">
        <is>
          <t>Core ★</t>
        </is>
      </c>
      <c r="G227" s="18" t="inlineStr">
        <is>
          <t>Done</t>
        </is>
      </c>
      <c r="H227" s="20">
        <f>IFERROR(COUNTIFS(Subtasks!$B$5:$B$400,A227,Subtasks!$F$5:$F$400,"Done")/COUNTIF(Subtasks!$B$5:$B$400,A227),0)</f>
        <v/>
      </c>
      <c r="I227" s="18" t="inlineStr">
        <is>
          <t>Week 3</t>
        </is>
      </c>
      <c r="J227" s="21" t="n"/>
      <c r="K227" s="18" t="n"/>
      <c r="L227" s="18" t="inlineStr">
        <is>
          <t>Gate decision recorded per candidate; P3 in brief wording (accept / adjust risk limit / reject)</t>
        </is>
      </c>
    </row>
    <row r="228" ht="34.5" customHeight="1" s="36">
      <c r="D228" s="19" t="inlineStr">
        <is>
          <t>02  Suitability gate: validated and within client limits?</t>
        </is>
      </c>
    </row>
    <row r="229" ht="34.5" customHeight="1" s="36">
      <c r="D229" s="19" t="inlineStr">
        <is>
          <t>03  Revise &amp; retest loop when the gate fails</t>
        </is>
      </c>
    </row>
    <row r="230" ht="34.5" customHeight="1" s="36">
      <c r="D230" s="19" t="inlineStr">
        <is>
          <t>04  Final P3 recommendation: weights, horizon, expected real return, downside</t>
        </is>
      </c>
    </row>
    <row r="231" ht="34.5" customHeight="1" s="36">
      <c r="D231" s="19" t="inlineStr">
        <is>
          <t>05  Monitoring triggers and exit / de-risking rules</t>
        </is>
      </c>
    </row>
    <row r="232" ht="34.5" customHeight="1" s="36">
      <c r="D232" s="19" t="inlineStr">
        <is>
          <t>06  Drawdown ↔ spending trade-off table in memo and app</t>
        </is>
      </c>
    </row>
    <row r="233" ht="34.5" customHeight="1" s="36">
      <c r="D233" s="19" t="inlineStr">
        <is>
          <t>07  Walk-forward (rolling-origin) validation of the selection rule (O1 vs O2), origins 2009–2021, CMA as of each origin</t>
        </is>
      </c>
    </row>
    <row r="234" ht="34.5" customHeight="1" s="36">
      <c r="D234" s="19" t="inlineStr">
        <is>
          <t>08  Recalibrate D23 rolling-ES99 watch trigger (fires on 26% of days at 2.0%)</t>
        </is>
      </c>
    </row>
    <row r="235" ht="34.5" customHeight="1" s="36">
      <c r="D235" s="19" t="inlineStr">
        <is>
          <t>09  Endowment sustainability &amp; recovery stress test: 15/20/25% falls, 1/3/5/7-year and lost-decade recoveries, D24 at 2.8%, costs, taxes, inflation; market view; bootstrap</t>
        </is>
      </c>
    </row>
    <row r="236" ht="34.5" customHeight="1" s="36">
      <c r="D236" s="19" t="inlineStr">
        <is>
          <t>10  Audit fix: 5-year drawdown test seed-tuned (4k paths) → 32k paths, block-length sensitivity; D30 2.8% propagated to hurdle and spending</t>
        </is>
      </c>
    </row>
    <row r="237" ht="34.5" customHeight="1" s="36">
      <c r="A237" s="17" t="inlineStr">
        <is>
          <t>T21</t>
        </is>
      </c>
      <c r="B237" s="18" t="inlineStr">
        <is>
          <t>Quality gates &amp; compliance QA</t>
        </is>
      </c>
      <c r="C237" s="18" t="inlineStr">
        <is>
          <t>Quality gates &amp; compliance QA</t>
        </is>
      </c>
      <c r="D237" s="19" t="inlineStr">
        <is>
          <t>01  Compliance check after every stage (R1–R20)</t>
        </is>
      </c>
      <c r="E237" s="18" t="inlineStr">
        <is>
          <t>Malindu</t>
        </is>
      </c>
      <c r="F237" s="18" t="inlineStr">
        <is>
          <t>Core ★</t>
        </is>
      </c>
      <c r="G237" s="18" t="inlineStr">
        <is>
          <t>In Progress</t>
        </is>
      </c>
      <c r="H237" s="20">
        <f>IFERROR(COUNTIFS(Subtasks!$B$5:$B$400,A237,Subtasks!$F$5:$F$400,"Done")/COUNTIF(Subtasks!$B$5:$B$400,A237),0)</f>
        <v/>
      </c>
      <c r="I237" s="18" t="inlineStr">
        <is>
          <t>Ongoing</t>
        </is>
      </c>
      <c r="J237" s="21" t="n"/>
      <c r="K237" s="18" t="n"/>
      <c r="L237" s="18" t="inlineStr">
        <is>
          <t>compliance-validator passes all R1–R20</t>
        </is>
      </c>
    </row>
    <row r="238" ht="34.5" customHeight="1" s="36">
      <c r="D238" s="19" t="inlineStr">
        <is>
          <t>02  Out-of-sample integrity gate: no leakage, frozen test, trial log</t>
        </is>
      </c>
    </row>
    <row r="239" ht="34.5" customHeight="1" s="36">
      <c r="D239" s="19" t="inlineStr">
        <is>
          <t>03  Calculation audit: units, signs, horizon consistent across stages</t>
        </is>
      </c>
    </row>
    <row r="240" ht="34.5" customHeight="1" s="36">
      <c r="D240" s="19" t="inlineStr">
        <is>
          <t>04  App / code QA: required panels, one-command run, tests green</t>
        </is>
      </c>
    </row>
    <row r="241" ht="34.5" customHeight="1" s="36">
      <c r="D241" s="19" t="inlineStr">
        <is>
          <t>05  Update FigJam board to match approved decisions (edit list in docs/research/PROJECT_REVIEW_2026-10-28.md §4)</t>
        </is>
      </c>
    </row>
    <row r="242" ht="34.5" customHeight="1" s="36">
      <c r="D242" s="19" t="inlineStr">
        <is>
          <t>06  Add R16–R20 to compliance matrix; update every status with evidence</t>
        </is>
      </c>
    </row>
    <row r="243" ht="34.5" customHeight="1" s="36">
      <c r="D243" s="19" t="inlineStr">
        <is>
          <t>07  Record innovations to date in the innovation log</t>
        </is>
      </c>
    </row>
    <row r="244" ht="34.5" customHeight="1" s="36">
      <c r="D244" s="19" t="inlineStr">
        <is>
          <t>08  Generate both Excel trackers from the repo tracker (tracking/export_excel.py)</t>
        </is>
      </c>
    </row>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33">
    <mergeCell ref="K199:K205"/>
    <mergeCell ref="A115:A126"/>
    <mergeCell ref="H180:H192"/>
    <mergeCell ref="K215:K222"/>
    <mergeCell ref="H88:H96"/>
    <mergeCell ref="K127:K132"/>
    <mergeCell ref="H145:H167"/>
    <mergeCell ref="B237:B244"/>
    <mergeCell ref="B88:B96"/>
    <mergeCell ref="J145:J167"/>
    <mergeCell ref="E180:E192"/>
    <mergeCell ref="H223:H226"/>
    <mergeCell ref="E115:E126"/>
    <mergeCell ref="L62:L87"/>
    <mergeCell ref="L180:L192"/>
    <mergeCell ref="G115:G126"/>
    <mergeCell ref="L145:L167"/>
    <mergeCell ref="E215:E222"/>
    <mergeCell ref="K180:K192"/>
    <mergeCell ref="J173:J179"/>
    <mergeCell ref="B173:B179"/>
    <mergeCell ref="L173:L179"/>
    <mergeCell ref="B110:B114"/>
    <mergeCell ref="A5:A15"/>
    <mergeCell ref="I227:I236"/>
    <mergeCell ref="C33:C61"/>
    <mergeCell ref="F168:F172"/>
    <mergeCell ref="E33:E61"/>
    <mergeCell ref="H168:H172"/>
    <mergeCell ref="K97:K109"/>
    <mergeCell ref="K62:K87"/>
    <mergeCell ref="K88:K96"/>
    <mergeCell ref="E88:E96"/>
    <mergeCell ref="E133:E144"/>
    <mergeCell ref="G199:G205"/>
    <mergeCell ref="J133:J144"/>
    <mergeCell ref="F5:F15"/>
    <mergeCell ref="J115:J126"/>
    <mergeCell ref="B133:B144"/>
    <mergeCell ref="L115:L126"/>
    <mergeCell ref="E223:E226"/>
    <mergeCell ref="B223:B226"/>
    <mergeCell ref="L5:L15"/>
    <mergeCell ref="K223:K226"/>
    <mergeCell ref="G110:G114"/>
    <mergeCell ref="E168:E172"/>
    <mergeCell ref="I110:I114"/>
    <mergeCell ref="G168:G172"/>
    <mergeCell ref="A206:A214"/>
    <mergeCell ref="I168:I172"/>
    <mergeCell ref="H33:H61"/>
    <mergeCell ref="A193:A198"/>
    <mergeCell ref="K168:K172"/>
    <mergeCell ref="C193:C198"/>
    <mergeCell ref="K237:K244"/>
    <mergeCell ref="J199:J205"/>
    <mergeCell ref="L199:L205"/>
    <mergeCell ref="L215:L222"/>
    <mergeCell ref="G133:G144"/>
    <mergeCell ref="J223:J226"/>
    <mergeCell ref="A88:A96"/>
    <mergeCell ref="F115:F126"/>
    <mergeCell ref="C62:C87"/>
    <mergeCell ref="H115:H126"/>
    <mergeCell ref="E62:E87"/>
    <mergeCell ref="K145:K167"/>
    <mergeCell ref="B193:B198"/>
    <mergeCell ref="J180:J192"/>
    <mergeCell ref="F237:F244"/>
    <mergeCell ref="C173:C179"/>
    <mergeCell ref="C110:C114"/>
    <mergeCell ref="A1:K1"/>
    <mergeCell ref="E110:E114"/>
    <mergeCell ref="F193:F198"/>
    <mergeCell ref="H193:H198"/>
    <mergeCell ref="B215:B222"/>
    <mergeCell ref="B33:B61"/>
    <mergeCell ref="J33:J61"/>
    <mergeCell ref="F88:F96"/>
    <mergeCell ref="I115:I126"/>
    <mergeCell ref="A133:A144"/>
    <mergeCell ref="K115:K126"/>
    <mergeCell ref="C133:C144"/>
    <mergeCell ref="J88:J96"/>
    <mergeCell ref="G215:G222"/>
    <mergeCell ref="A215:A222"/>
    <mergeCell ref="K5:K15"/>
    <mergeCell ref="C5:C15"/>
    <mergeCell ref="B97:B109"/>
    <mergeCell ref="E5:E15"/>
    <mergeCell ref="F110:F114"/>
    <mergeCell ref="H110:H114"/>
    <mergeCell ref="K193:K198"/>
    <mergeCell ref="B62:B87"/>
    <mergeCell ref="E127:E132"/>
    <mergeCell ref="G33:G61"/>
    <mergeCell ref="J168:J172"/>
    <mergeCell ref="I33:I61"/>
    <mergeCell ref="L168:L172"/>
    <mergeCell ref="I16:I32"/>
    <mergeCell ref="G88:G96"/>
    <mergeCell ref="A16:A32"/>
    <mergeCell ref="C16:C32"/>
    <mergeCell ref="I133:I144"/>
    <mergeCell ref="F133:F144"/>
    <mergeCell ref="A97:A109"/>
    <mergeCell ref="H133:H144"/>
    <mergeCell ref="A227:A236"/>
    <mergeCell ref="C227:C236"/>
    <mergeCell ref="E97:E109"/>
    <mergeCell ref="H5:H15"/>
    <mergeCell ref="L133:L144"/>
    <mergeCell ref="K110:K114"/>
    <mergeCell ref="J5:J15"/>
    <mergeCell ref="F206:F214"/>
    <mergeCell ref="C237:C244"/>
    <mergeCell ref="E237:E244"/>
    <mergeCell ref="B199:B205"/>
    <mergeCell ref="C206:C214"/>
    <mergeCell ref="E206:E214"/>
    <mergeCell ref="E193:E198"/>
    <mergeCell ref="L33:L61"/>
    <mergeCell ref="G193:G198"/>
    <mergeCell ref="I193:I198"/>
    <mergeCell ref="A127:A132"/>
    <mergeCell ref="I206:I214"/>
    <mergeCell ref="L16:L32"/>
    <mergeCell ref="B180:B192"/>
    <mergeCell ref="I173:I179"/>
    <mergeCell ref="F97:F109"/>
    <mergeCell ref="F227:F236"/>
    <mergeCell ref="H227:H236"/>
    <mergeCell ref="H237:H244"/>
    <mergeCell ref="J237:J244"/>
    <mergeCell ref="A2:K2"/>
    <mergeCell ref="H206:H214"/>
    <mergeCell ref="J193:J198"/>
    <mergeCell ref="A62:A87"/>
    <mergeCell ref="B127:B132"/>
    <mergeCell ref="L193:L198"/>
    <mergeCell ref="F215:F222"/>
    <mergeCell ref="A145:A167"/>
    <mergeCell ref="G223:G226"/>
    <mergeCell ref="B16:B32"/>
    <mergeCell ref="F33:F61"/>
    <mergeCell ref="E173:E179"/>
    <mergeCell ref="K227:K236"/>
    <mergeCell ref="L88:L96"/>
    <mergeCell ref="F16:F32"/>
    <mergeCell ref="B227:B236"/>
    <mergeCell ref="C215:C222"/>
    <mergeCell ref="G5:G15"/>
    <mergeCell ref="J110:J114"/>
    <mergeCell ref="I5:I15"/>
    <mergeCell ref="L110:L114"/>
    <mergeCell ref="I199:I205"/>
    <mergeCell ref="B145:B167"/>
    <mergeCell ref="F62:F87"/>
    <mergeCell ref="G127:G132"/>
    <mergeCell ref="B206:B214"/>
    <mergeCell ref="I215:I222"/>
    <mergeCell ref="I127:I132"/>
    <mergeCell ref="F145:F167"/>
    <mergeCell ref="A180:A192"/>
    <mergeCell ref="L223:L226"/>
    <mergeCell ref="K206:K214"/>
    <mergeCell ref="K33:K61"/>
    <mergeCell ref="H62:H87"/>
    <mergeCell ref="C115:C126"/>
    <mergeCell ref="J62:J87"/>
    <mergeCell ref="F173:F179"/>
    <mergeCell ref="E16:E32"/>
    <mergeCell ref="H173:H179"/>
    <mergeCell ref="G16:G32"/>
    <mergeCell ref="C97:C109"/>
    <mergeCell ref="E227:E236"/>
    <mergeCell ref="K16:K32"/>
    <mergeCell ref="G227:G236"/>
    <mergeCell ref="B168:B172"/>
    <mergeCell ref="A33:A61"/>
    <mergeCell ref="G97:G109"/>
    <mergeCell ref="I97:I109"/>
    <mergeCell ref="G62:G87"/>
    <mergeCell ref="G237:G244"/>
    <mergeCell ref="I237:I244"/>
    <mergeCell ref="I88:I96"/>
    <mergeCell ref="L127:L132"/>
    <mergeCell ref="G206:G214"/>
    <mergeCell ref="A237:A244"/>
    <mergeCell ref="A199:A205"/>
    <mergeCell ref="C199:C205"/>
    <mergeCell ref="B5:B15"/>
    <mergeCell ref="E199:E205"/>
    <mergeCell ref="A223:A226"/>
    <mergeCell ref="C127:C132"/>
    <mergeCell ref="K173:K179"/>
    <mergeCell ref="A168:A172"/>
    <mergeCell ref="H97:H109"/>
    <mergeCell ref="J97:J109"/>
    <mergeCell ref="J227:J236"/>
    <mergeCell ref="L227:L236"/>
    <mergeCell ref="L97:L109"/>
    <mergeCell ref="L237:L244"/>
    <mergeCell ref="J206:J214"/>
    <mergeCell ref="L206:L214"/>
    <mergeCell ref="F199:F205"/>
    <mergeCell ref="H199:H205"/>
    <mergeCell ref="C180:C192"/>
    <mergeCell ref="K133:K144"/>
    <mergeCell ref="H215:H222"/>
    <mergeCell ref="F127:F132"/>
    <mergeCell ref="C145:C167"/>
    <mergeCell ref="J215:J222"/>
    <mergeCell ref="H127:H132"/>
    <mergeCell ref="E145:E167"/>
    <mergeCell ref="F223:F226"/>
    <mergeCell ref="J127:J132"/>
    <mergeCell ref="I223:I226"/>
    <mergeCell ref="C223:C226"/>
    <mergeCell ref="G180:G192"/>
    <mergeCell ref="B115:B126"/>
    <mergeCell ref="I62:I87"/>
    <mergeCell ref="I180:I192"/>
    <mergeCell ref="G145:G167"/>
    <mergeCell ref="I145:I167"/>
    <mergeCell ref="F180:F192"/>
    <mergeCell ref="G173:G179"/>
    <mergeCell ref="A173:A179"/>
    <mergeCell ref="A110:A114"/>
    <mergeCell ref="H16:H32"/>
    <mergeCell ref="J16:J32"/>
    <mergeCell ref="C168:C172"/>
    <mergeCell ref="C88:C96"/>
  </mergeCells>
  <conditionalFormatting sqref="G5:G400">
    <cfRule type="expression" priority="1" dxfId="0">
      <formula>G5="Done"</formula>
    </cfRule>
    <cfRule type="expression" priority="2" dxfId="1">
      <formula>G5="Blocked"</formula>
    </cfRule>
    <cfRule type="expression" priority="3" dxfId="2">
      <formula>G5="In Progress"</formula>
    </cfRule>
    <cfRule type="expression" priority="4" dxfId="3">
      <formula>G5="In Review"</formula>
    </cfRule>
  </conditionalFormatting>
  <dataValidations count="4">
    <dataValidation sqref="F5:F400" showDropDown="0" showInputMessage="0" showErrorMessage="0" allowBlank="1" type="list">
      <formula1>"Core ★,Supporting,Optional,Conditional"</formula1>
    </dataValidation>
    <dataValidation sqref="E5:E400" showDropDown="0" showInputMessage="0" showErrorMessage="0" allowBlank="1" type="list">
      <formula1>"Malindu,Raveena,Dewmini,Sujan,Raveena + Dewmini,All members"</formula1>
    </dataValidation>
    <dataValidation sqref="G5:G400" showDropDown="0" showInputMessage="0" showErrorMessage="0" allowBlank="1" type="list">
      <formula1>"Not Started,In Progress,Blocked,In Review,Done"</formula1>
    </dataValidation>
    <dataValidation sqref="I5:I400" showDropDown="0" showInputMessage="0" showErrorMessage="0" allowBlank="1" type="list">
      <formula1>"Week 1,Week 2,Week 3,Weeks 1–2,Weeks 2–3,Ongoing,If finalist"</formula1>
    </dataValidation>
  </dataValidation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N244"/>
  <sheetViews>
    <sheetView workbookViewId="0">
      <pane ySplit="4" topLeftCell="A5" activePane="bottomLeft" state="frozen"/>
      <selection pane="bottomLeft" activeCell="B6" sqref="B6"/>
    </sheetView>
  </sheetViews>
  <sheetFormatPr baseColWidth="8" defaultColWidth="12.63" defaultRowHeight="15" customHeight="1"/>
  <cols>
    <col width="13" customWidth="1" style="36" min="1" max="1"/>
    <col width="10" customWidth="1" style="36" min="2" max="2"/>
    <col width="34" customWidth="1" style="36" min="3" max="3"/>
    <col width="67" customWidth="1" style="36" min="4" max="4"/>
    <col width="17" customWidth="1" style="36" min="5" max="5"/>
    <col width="18" customWidth="1" style="36" min="6" max="6"/>
    <col width="17" customWidth="1" style="36" min="7" max="7"/>
    <col width="16" customWidth="1" style="36" min="8" max="8"/>
    <col width="44" customWidth="1" style="36" min="9" max="9"/>
    <col width="34" customWidth="1" style="36" min="10" max="10"/>
    <col width="44" customWidth="1" style="36" min="11" max="26"/>
    <col width="12" customWidth="1" style="36" min="12" max="12"/>
    <col width="22" customWidth="1" style="36" min="13" max="13"/>
    <col width="30" customWidth="1" style="36" min="14" max="14"/>
  </cols>
  <sheetData>
    <row r="1" ht="45" customHeight="1" s="36">
      <c r="A1" s="1" t="inlineStr">
        <is>
          <t>QUANTEDGE 1.0 — SUBTASK TRACKER</t>
        </is>
      </c>
    </row>
    <row r="2" ht="28.5" customHeight="1" s="36">
      <c r="A2" s="5" t="inlineStr">
        <is>
          <t>Mark individual subtasks Done; main-task progress updates automatically. 240 subtasks (98 original + added). Generated from tracking/SUBTASKS.md by tracking/export_excel.py.</t>
        </is>
      </c>
    </row>
    <row r="4" ht="30.75" customHeight="1" s="36">
      <c r="A4" s="27" t="inlineStr">
        <is>
          <t>Subtask ID</t>
        </is>
      </c>
      <c r="B4" s="27" t="inlineStr">
        <is>
          <t>Task ID</t>
        </is>
      </c>
      <c r="C4" s="27" t="inlineStr">
        <is>
          <t>Main Task</t>
        </is>
      </c>
      <c r="D4" s="27" t="inlineStr">
        <is>
          <t>Actionable Subtask</t>
        </is>
      </c>
      <c r="E4" s="27" t="inlineStr">
        <is>
          <t>Assigned Owner</t>
        </is>
      </c>
      <c r="F4" s="27" t="inlineStr">
        <is>
          <t>Status</t>
        </is>
      </c>
      <c r="G4" s="27" t="inlineStr">
        <is>
          <t>Target Week</t>
        </is>
      </c>
      <c r="H4" s="27" t="inlineStr">
        <is>
          <t>Due Date</t>
        </is>
      </c>
      <c r="I4" s="27" t="inlineStr">
        <is>
          <t>Evidence / Link</t>
        </is>
      </c>
      <c r="J4" s="27" t="inlineStr">
        <is>
          <t>Notes</t>
        </is>
      </c>
      <c r="K4" s="27" t="inlineStr">
        <is>
          <t>Expected Output</t>
        </is>
      </c>
      <c r="L4" s="27" t="inlineStr">
        <is>
          <t>Priority</t>
        </is>
      </c>
      <c r="M4" s="27" t="inlineStr">
        <is>
          <t>Depends On</t>
        </is>
      </c>
      <c r="N4" s="27" t="inlineStr">
        <is>
          <t>Source</t>
        </is>
      </c>
    </row>
    <row r="5" ht="36.75" customHeight="1" s="36">
      <c r="A5" s="8" t="inlineStr">
        <is>
          <t>T1.01</t>
        </is>
      </c>
      <c r="B5" s="8" t="inlineStr">
        <is>
          <t>T1</t>
        </is>
      </c>
      <c r="C5" s="16" t="inlineStr">
        <is>
          <t>Project setup and shared decisions</t>
        </is>
      </c>
      <c r="D5" s="16" t="inlineStr">
        <is>
          <t>Create shared GitHub repository and directory structure</t>
        </is>
      </c>
      <c r="E5" s="16" t="inlineStr">
        <is>
          <t>Malindu</t>
        </is>
      </c>
      <c r="F5" s="16" t="inlineStr">
        <is>
          <t>In Progress</t>
        </is>
      </c>
      <c r="G5" s="16" t="inlineStr">
        <is>
          <t>Week 1</t>
        </is>
      </c>
      <c r="H5" s="14" t="n"/>
      <c r="I5" s="16" t="n"/>
      <c r="J5" s="16" t="n"/>
      <c r="K5" s="16" t="inlineStr">
        <is>
          <t>Folder tree, README, git repo; GitHub remote</t>
        </is>
      </c>
      <c r="L5" s="16" t="inlineStr">
        <is>
          <t>Critical</t>
        </is>
      </c>
      <c r="M5" s="16" t="inlineStr">
        <is>
          <t>—</t>
        </is>
      </c>
      <c r="N5" s="16" t="inlineStr">
        <is>
          <t>PM · local repo done, remote pending</t>
        </is>
      </c>
    </row>
    <row r="6" ht="36.75" customHeight="1" s="36">
      <c r="A6" s="8" t="inlineStr">
        <is>
          <t>T1.02</t>
        </is>
      </c>
      <c r="B6" s="8" t="inlineStr">
        <is>
          <t>T1</t>
        </is>
      </c>
      <c r="C6" s="16" t="inlineStr">
        <is>
          <t>Project setup and shared decisions</t>
        </is>
      </c>
      <c r="D6" s="16" t="inlineStr">
        <is>
          <t>Define environment, dependencies and setup commands</t>
        </is>
      </c>
      <c r="E6" s="16" t="inlineStr">
        <is>
          <t>Malindu</t>
        </is>
      </c>
      <c r="F6" s="16" t="inlineStr">
        <is>
          <t>In Progress</t>
        </is>
      </c>
      <c r="G6" s="16" t="inlineStr">
        <is>
          <t>Week 1</t>
        </is>
      </c>
      <c r="H6" s="14" t="n"/>
      <c r="I6" s="16" t="n"/>
      <c r="J6" s="16" t="n"/>
      <c r="K6" s="16" t="inlineStr">
        <is>
          <t>requirements.txt (pinned), setup steps in README</t>
        </is>
      </c>
      <c r="L6" s="16" t="inlineStr">
        <is>
          <t>High</t>
        </is>
      </c>
      <c r="M6" s="16" t="inlineStr">
        <is>
          <t>T1.01</t>
        </is>
      </c>
      <c r="N6" s="16" t="inlineStr">
        <is>
          <t>PM · unpinned list exists</t>
        </is>
      </c>
    </row>
    <row r="7" ht="36.75" customHeight="1" s="36">
      <c r="A7" s="8" t="inlineStr">
        <is>
          <t>T1.03</t>
        </is>
      </c>
      <c r="B7" s="8" t="inlineStr">
        <is>
          <t>T1</t>
        </is>
      </c>
      <c r="C7" s="16" t="inlineStr">
        <is>
          <t>Project setup and shared decisions</t>
        </is>
      </c>
      <c r="D7" s="16" t="inlineStr">
        <is>
          <t>Agree on common model input/output conventions</t>
        </is>
      </c>
      <c r="E7" s="16" t="inlineStr">
        <is>
          <t>Malindu</t>
        </is>
      </c>
      <c r="F7" s="16" t="inlineStr">
        <is>
          <t>Done</t>
        </is>
      </c>
      <c r="G7" s="16" t="inlineStr">
        <is>
          <t>Week 1</t>
        </is>
      </c>
      <c r="H7" s="14" t="n"/>
      <c r="I7" s="16" t="inlineStr">
        <is>
          <t>conventions.py + CALCULATION_DICTIONARY.md (D17)</t>
        </is>
      </c>
      <c r="J7" s="16" t="n"/>
      <c r="K7" s="16" t="inlineStr">
        <is>
          <t>conventions.py + CALCULATION_DICTIONARY.md (D17)</t>
        </is>
      </c>
      <c r="L7" s="16" t="inlineStr">
        <is>
          <t>Critical</t>
        </is>
      </c>
      <c r="M7" s="16" t="inlineStr">
        <is>
          <t>—</t>
        </is>
      </c>
      <c r="N7" s="16" t="inlineStr">
        <is>
          <t>PM · DEC D17</t>
        </is>
      </c>
    </row>
    <row r="8" ht="36.75" customHeight="1" s="36">
      <c r="A8" s="8" t="inlineStr">
        <is>
          <t>T1.04</t>
        </is>
      </c>
      <c r="B8" s="8" t="inlineStr">
        <is>
          <t>T1</t>
        </is>
      </c>
      <c r="C8" s="16" t="inlineStr">
        <is>
          <t>Project setup and shared decisions</t>
        </is>
      </c>
      <c r="D8" s="16" t="inlineStr">
        <is>
          <t>Agree date range, risk-free rate, benchmark and ETF universe</t>
        </is>
      </c>
      <c r="E8" s="16" t="inlineStr">
        <is>
          <t>Malindu</t>
        </is>
      </c>
      <c r="F8" s="16" t="inlineStr">
        <is>
          <t>Done</t>
        </is>
      </c>
      <c r="G8" s="16" t="inlineStr">
        <is>
          <t>Week 1</t>
        </is>
      </c>
      <c r="H8" s="14" t="n"/>
      <c r="I8" s="16" t="inlineStr">
        <is>
          <t>D1, D2, D3 approved in DECISIONS.md</t>
        </is>
      </c>
      <c r="J8" s="16" t="n"/>
      <c r="K8" s="16" t="inlineStr">
        <is>
          <t>D1, D2, D3 approved in DECISIONS.md</t>
        </is>
      </c>
      <c r="L8" s="16" t="inlineStr">
        <is>
          <t>Critical</t>
        </is>
      </c>
      <c r="M8" s="16" t="inlineStr">
        <is>
          <t>T2.06</t>
        </is>
      </c>
      <c r="N8" s="16" t="inlineStr">
        <is>
          <t>PM · D2 implemented, D1/D3 open</t>
        </is>
      </c>
    </row>
    <row r="9" ht="36.75" customHeight="1" s="36">
      <c r="A9" s="8" t="inlineStr">
        <is>
          <t>T1.05</t>
        </is>
      </c>
      <c r="B9" s="8" t="inlineStr">
        <is>
          <t>T1</t>
        </is>
      </c>
      <c r="C9" s="16" t="inlineStr">
        <is>
          <t>Project setup and shared decisions</t>
        </is>
      </c>
      <c r="D9" s="16" t="inlineStr">
        <is>
          <t>Record decisions, responsibility owners and review process</t>
        </is>
      </c>
      <c r="E9" s="16" t="inlineStr">
        <is>
          <t>Malindu</t>
        </is>
      </c>
      <c r="F9" s="16" t="inlineStr">
        <is>
          <t>Done</t>
        </is>
      </c>
      <c r="G9" s="16" t="inlineStr">
        <is>
          <t>Week 1</t>
        </is>
      </c>
      <c r="H9" s="14" t="n"/>
      <c r="I9" s="16" t="inlineStr">
        <is>
          <t>DECISIONS.md, AGENTS.md, review rules</t>
        </is>
      </c>
      <c r="J9" s="16" t="n"/>
      <c r="K9" s="16" t="inlineStr">
        <is>
          <t>DECISIONS.md, AGENTS.md, review rules</t>
        </is>
      </c>
      <c r="L9" s="16" t="inlineStr">
        <is>
          <t>High</t>
        </is>
      </c>
      <c r="M9" s="16" t="inlineStr">
        <is>
          <t>—</t>
        </is>
      </c>
      <c r="N9" s="16" t="inlineStr">
        <is>
          <t>PM</t>
        </is>
      </c>
    </row>
    <row r="10" ht="36.75" customHeight="1" s="36">
      <c r="A10" s="8" t="inlineStr">
        <is>
          <t>T1.06</t>
        </is>
      </c>
      <c r="B10" s="8" t="inlineStr">
        <is>
          <t>T1</t>
        </is>
      </c>
      <c r="C10" s="16" t="inlineStr">
        <is>
          <t>Project setup and shared decisions</t>
        </is>
      </c>
      <c r="D10" s="16" t="inlineStr">
        <is>
          <t>Map brief Layers 1–5 to code stages; keep the vocabularies separate</t>
        </is>
      </c>
      <c r="E10" s="16" t="inlineStr">
        <is>
          <t>Malindu</t>
        </is>
      </c>
      <c r="F10" s="16" t="inlineStr">
        <is>
          <t>Done</t>
        </is>
      </c>
      <c r="G10" s="16" t="inlineStr">
        <is>
          <t>Week 1</t>
        </is>
      </c>
      <c r="H10" s="14" t="n"/>
      <c r="I10" s="16" t="inlineStr">
        <is>
          <t>PROJECT_KNOWLEDGE.md §1</t>
        </is>
      </c>
      <c r="J10" s="16" t="n"/>
      <c r="K10" s="16" t="inlineStr">
        <is>
          <t>PROJECT_KNOWLEDGE.md §1</t>
        </is>
      </c>
      <c r="L10" s="16" t="inlineStr">
        <is>
          <t>High</t>
        </is>
      </c>
      <c r="M10" s="16" t="inlineStr">
        <is>
          <t>—</t>
        </is>
      </c>
      <c r="N10" s="16" t="inlineStr">
        <is>
          <t>REV</t>
        </is>
      </c>
    </row>
    <row r="11" ht="36.75" customHeight="1" s="36">
      <c r="A11" s="8" t="inlineStr">
        <is>
          <t>T1.07</t>
        </is>
      </c>
      <c r="B11" s="8" t="inlineStr">
        <is>
          <t>T1</t>
        </is>
      </c>
      <c r="C11" s="16" t="inlineStr">
        <is>
          <t>Project setup and shared decisions</t>
        </is>
      </c>
      <c r="D11" s="16" t="inlineStr">
        <is>
          <t>Settle blocking decisions D3, D5, D6, D7, D12 before portfolio stage</t>
        </is>
      </c>
      <c r="E11" s="16" t="inlineStr">
        <is>
          <t>All members</t>
        </is>
      </c>
      <c r="F11" s="16" t="inlineStr">
        <is>
          <t>Done</t>
        </is>
      </c>
      <c r="G11" s="16" t="inlineStr">
        <is>
          <t>Week 1</t>
        </is>
      </c>
      <c r="H11" s="14" t="n"/>
      <c r="I11" s="16" t="inlineStr">
        <is>
          <t>All five APPROVED in DECISIONS.md</t>
        </is>
      </c>
      <c r="J11" s="16" t="n"/>
      <c r="K11" s="16" t="inlineStr">
        <is>
          <t>All five APPROVED in DECISIONS.md</t>
        </is>
      </c>
      <c r="L11" s="16" t="inlineStr">
        <is>
          <t>Critical</t>
        </is>
      </c>
      <c r="M11" s="16" t="inlineStr">
        <is>
          <t>T3.01–T3.04</t>
        </is>
      </c>
      <c r="N11" s="16" t="inlineStr">
        <is>
          <t>DEC</t>
        </is>
      </c>
    </row>
    <row r="12" ht="36.75" customHeight="1" s="36">
      <c r="A12" s="8" t="inlineStr">
        <is>
          <t>T1.08</t>
        </is>
      </c>
      <c r="B12" s="8" t="inlineStr">
        <is>
          <t>T1</t>
        </is>
      </c>
      <c r="C12" s="16" t="inlineStr">
        <is>
          <t>Project setup and shared decisions</t>
        </is>
      </c>
      <c r="D12" s="16" t="inlineStr">
        <is>
          <t>Settle remaining decisions D1, D4, D8, D9, D11, D13, D16</t>
        </is>
      </c>
      <c r="E12" s="16" t="inlineStr">
        <is>
          <t>All members</t>
        </is>
      </c>
      <c r="F12" s="16" t="inlineStr">
        <is>
          <t>Not Started</t>
        </is>
      </c>
      <c r="G12" s="16" t="inlineStr">
        <is>
          <t>Week 1</t>
        </is>
      </c>
      <c r="H12" s="14" t="n"/>
      <c r="I12" s="16" t="n"/>
      <c r="J12" s="16" t="n"/>
      <c r="K12" s="16" t="inlineStr">
        <is>
          <t>APPROVED in DECISIONS.md</t>
        </is>
      </c>
      <c r="L12" s="16" t="inlineStr">
        <is>
          <t>High</t>
        </is>
      </c>
      <c r="M12" s="16" t="inlineStr">
        <is>
          <t>T1.07</t>
        </is>
      </c>
      <c r="N12" s="16" t="inlineStr">
        <is>
          <t>DEC</t>
        </is>
      </c>
    </row>
    <row r="13" ht="36.75" customHeight="1" s="36">
      <c r="A13" s="8" t="inlineStr">
        <is>
          <t>T1.09</t>
        </is>
      </c>
      <c r="B13" s="8" t="inlineStr">
        <is>
          <t>T1</t>
        </is>
      </c>
      <c r="C13" s="16" t="inlineStr">
        <is>
          <t>Project setup and shared decisions</t>
        </is>
      </c>
      <c r="D13" s="16" t="inlineStr">
        <is>
          <t>Upload missing Batch04 explainer (slides 61–80); remove duplicate Batch02</t>
        </is>
      </c>
      <c r="E13" s="16" t="inlineStr">
        <is>
          <t>Malindu</t>
        </is>
      </c>
      <c r="F13" s="16" t="inlineStr">
        <is>
          <t>Not Started</t>
        </is>
      </c>
      <c r="G13" s="16" t="inlineStr">
        <is>
          <t>Week 1</t>
        </is>
      </c>
      <c r="H13" s="14" t="n"/>
      <c r="I13" s="16" t="n"/>
      <c r="J13" s="16" t="n"/>
      <c r="K13" s="16" t="inlineStr">
        <is>
          <t>docs/references/explainers complete</t>
        </is>
      </c>
      <c r="L13" s="16" t="inlineStr">
        <is>
          <t>Low</t>
        </is>
      </c>
      <c r="M13" s="16" t="inlineStr">
        <is>
          <t>—</t>
        </is>
      </c>
      <c r="N13" s="16" t="inlineStr">
        <is>
          <t>REV</t>
        </is>
      </c>
    </row>
    <row r="14" ht="36.75" customHeight="1" s="36">
      <c r="A14" s="8" t="inlineStr">
        <is>
          <t>T1.10</t>
        </is>
      </c>
      <c r="B14" s="8" t="inlineStr">
        <is>
          <t>T1</t>
        </is>
      </c>
      <c r="C14" s="16" t="inlineStr">
        <is>
          <t>Project setup and shared decisions</t>
        </is>
      </c>
      <c r="D14" s="16" t="inlineStr">
        <is>
          <t>Approve decisions already implied by approved work: D4 5-year horizon (D7 uses it), D11 quarterly (D3 uses it), D13 1,000-day window, D1 full sample, D2 DTB3, D8 EVT method</t>
        </is>
      </c>
      <c r="E14" s="16" t="inlineStr">
        <is>
          <t>All members</t>
        </is>
      </c>
      <c r="F14" s="16" t="inlineStr">
        <is>
          <t>Done</t>
        </is>
      </c>
      <c r="G14" s="16" t="inlineStr">
        <is>
          <t>Week 1</t>
        </is>
      </c>
      <c r="H14" s="14" t="n"/>
      <c r="I14" s="16" t="inlineStr">
        <is>
          <t>APPROVED rows in DECISIONS.md</t>
        </is>
      </c>
      <c r="J14" s="16" t="n"/>
      <c r="K14" s="16" t="inlineStr">
        <is>
          <t>APPROVED rows in DECISIONS.md</t>
        </is>
      </c>
      <c r="L14" s="16" t="inlineStr">
        <is>
          <t>Critical</t>
        </is>
      </c>
      <c r="M14" s="16" t="inlineStr">
        <is>
          <t>—</t>
        </is>
      </c>
      <c r="N14" s="16" t="inlineStr">
        <is>
          <t>Review 2026-10-28 (all approved 2026-10-28)</t>
        </is>
      </c>
    </row>
    <row r="15" ht="36.75" customHeight="1" s="36">
      <c r="A15" s="8" t="inlineStr">
        <is>
          <t>T1.11</t>
        </is>
      </c>
      <c r="B15" s="8" t="inlineStr">
        <is>
          <t>T1</t>
        </is>
      </c>
      <c r="C15" s="16" t="inlineStr">
        <is>
          <t>Project setup and shared decisions</t>
        </is>
      </c>
      <c r="D15" s="16" t="inlineStr">
        <is>
          <t>Approve optimiser design for drawdown limit (CVaR constraint + CDaR or post-check)</t>
        </is>
      </c>
      <c r="E15" s="16" t="inlineStr">
        <is>
          <t>All members</t>
        </is>
      </c>
      <c r="F15" s="16" t="inlineStr">
        <is>
          <t>Done</t>
        </is>
      </c>
      <c r="G15" s="16" t="inlineStr">
        <is>
          <t>Week 1</t>
        </is>
      </c>
      <c r="H15" s="14" t="n"/>
      <c r="I15" s="16" t="inlineStr">
        <is>
          <t>Decision D22</t>
        </is>
      </c>
      <c r="J15" s="16" t="n"/>
      <c r="K15" s="16" t="inlineStr">
        <is>
          <t>Decision D22</t>
        </is>
      </c>
      <c r="L15" s="16" t="inlineStr">
        <is>
          <t>Critical</t>
        </is>
      </c>
      <c r="M15" s="16" t="inlineStr">
        <is>
          <t>T4.20</t>
        </is>
      </c>
      <c r="N15" s="16" t="inlineStr">
        <is>
          <t>Review 2026-10-28</t>
        </is>
      </c>
    </row>
    <row r="16" ht="36.75" customHeight="1" s="36">
      <c r="A16" s="8" t="inlineStr">
        <is>
          <t>T2.01</t>
        </is>
      </c>
      <c r="B16" s="8" t="inlineStr">
        <is>
          <t>T2</t>
        </is>
      </c>
      <c r="C16" s="16" t="inlineStr">
        <is>
          <t>Data pipeline and cleaning</t>
        </is>
      </c>
      <c r="D16" s="16" t="inlineStr">
        <is>
          <t>Download adjusted prices for all seven allowed ETFs</t>
        </is>
      </c>
      <c r="E16" s="16" t="inlineStr">
        <is>
          <t>Raveena</t>
        </is>
      </c>
      <c r="F16" s="16" t="inlineStr">
        <is>
          <t>Done</t>
        </is>
      </c>
      <c r="G16" s="16" t="inlineStr">
        <is>
          <t>Week 1</t>
        </is>
      </c>
      <c r="H16" s="14" t="n"/>
      <c r="I16" s="16" t="inlineStr">
        <is>
          <t>data/raw/yahoo_adj_close_2026-10-20.csv</t>
        </is>
      </c>
      <c r="J16" s="16" t="n"/>
      <c r="K16" s="16" t="inlineStr">
        <is>
          <t>data/raw/yahoo_adj_close_2026-10-20.csv</t>
        </is>
      </c>
      <c r="L16" s="16" t="inlineStr">
        <is>
          <t>Critical</t>
        </is>
      </c>
      <c r="M16" s="16" t="inlineStr">
        <is>
          <t>—</t>
        </is>
      </c>
      <c r="N16" s="16" t="inlineStr">
        <is>
          <t>PM · FJ M04 · BR p.9</t>
        </is>
      </c>
    </row>
    <row r="17" ht="36.75" customHeight="1" s="36">
      <c r="A17" s="8" t="inlineStr">
        <is>
          <t>T2.02</t>
        </is>
      </c>
      <c r="B17" s="8" t="inlineStr">
        <is>
          <t>T2</t>
        </is>
      </c>
      <c r="C17" s="16" t="inlineStr">
        <is>
          <t>Data pipeline and cleaning</t>
        </is>
      </c>
      <c r="D17" s="16" t="inlineStr">
        <is>
          <t>Document data source, download date and adjustment choices</t>
        </is>
      </c>
      <c r="E17" s="16" t="inlineStr">
        <is>
          <t>Raveena</t>
        </is>
      </c>
      <c r="F17" s="16" t="inlineStr">
        <is>
          <t>Done</t>
        </is>
      </c>
      <c r="G17" s="16" t="inlineStr">
        <is>
          <t>Week 1</t>
        </is>
      </c>
      <c r="H17" s="14" t="n"/>
      <c r="I17" s="16" t="inlineStr">
        <is>
          <t>raw .meta.json + data/README.md source log</t>
        </is>
      </c>
      <c r="J17" s="16" t="n"/>
      <c r="K17" s="16" t="inlineStr">
        <is>
          <t>raw .meta.json + data/README.md source log</t>
        </is>
      </c>
      <c r="L17" s="16" t="inlineStr">
        <is>
          <t>Critical</t>
        </is>
      </c>
      <c r="M17" s="16" t="inlineStr">
        <is>
          <t>T2.01</t>
        </is>
      </c>
      <c r="N17" s="16" t="inlineStr">
        <is>
          <t>PM · FJ M04</t>
        </is>
      </c>
    </row>
    <row r="18" ht="36.75" customHeight="1" s="36">
      <c r="A18" s="8" t="inlineStr">
        <is>
          <t>T2.03</t>
        </is>
      </c>
      <c r="B18" s="8" t="inlineStr">
        <is>
          <t>T2</t>
        </is>
      </c>
      <c r="C18" s="16" t="inlineStr">
        <is>
          <t>Data pipeline and cleaning</t>
        </is>
      </c>
      <c r="D18" s="16" t="inlineStr">
        <is>
          <t>Align calendars, missing observations and common sample</t>
        </is>
      </c>
      <c r="E18" s="16" t="inlineStr">
        <is>
          <t>Raveena</t>
        </is>
      </c>
      <c r="F18" s="16" t="inlineStr">
        <is>
          <t>Done</t>
        </is>
      </c>
      <c r="G18" s="16" t="inlineStr">
        <is>
          <t>Week 1</t>
        </is>
      </c>
      <c r="H18" s="14" t="n"/>
      <c r="I18" s="16" t="inlineStr">
        <is>
          <t>prices_aligned.csv; data_quality_missing.csv</t>
        </is>
      </c>
      <c r="J18" s="16" t="n"/>
      <c r="K18" s="16" t="inlineStr">
        <is>
          <t>prices_aligned.csv; data_quality_missing.csv</t>
        </is>
      </c>
      <c r="L18" s="16" t="inlineStr">
        <is>
          <t>Critical</t>
        </is>
      </c>
      <c r="M18" s="16" t="inlineStr">
        <is>
          <t>T2.01</t>
        </is>
      </c>
      <c r="N18" s="16" t="inlineStr">
        <is>
          <t>PM · FJ M05 · BR p.9</t>
        </is>
      </c>
    </row>
    <row r="19" ht="36.75" customHeight="1" s="36">
      <c r="A19" s="8" t="inlineStr">
        <is>
          <t>T2.04</t>
        </is>
      </c>
      <c r="B19" s="8" t="inlineStr">
        <is>
          <t>T2</t>
        </is>
      </c>
      <c r="C19" s="16" t="inlineStr">
        <is>
          <t>Data pipeline and cleaning</t>
        </is>
      </c>
      <c r="D19" s="16" t="inlineStr">
        <is>
          <t>Calculate daily log returns and verify computations</t>
        </is>
      </c>
      <c r="E19" s="16" t="inlineStr">
        <is>
          <t>Raveena</t>
        </is>
      </c>
      <c r="F19" s="16" t="inlineStr">
        <is>
          <t>Done</t>
        </is>
      </c>
      <c r="G19" s="16" t="inlineStr">
        <is>
          <t>Week 1</t>
        </is>
      </c>
      <c r="H19" s="14" t="n"/>
      <c r="I19" s="16" t="inlineStr">
        <is>
          <t>log_returns.csv + tests</t>
        </is>
      </c>
      <c r="J19" s="16" t="n"/>
      <c r="K19" s="16" t="inlineStr">
        <is>
          <t>log_returns.csv + tests</t>
        </is>
      </c>
      <c r="L19" s="16" t="inlineStr">
        <is>
          <t>Critical</t>
        </is>
      </c>
      <c r="M19" s="16" t="inlineStr">
        <is>
          <t>T2.03</t>
        </is>
      </c>
      <c r="N19" s="16" t="inlineStr">
        <is>
          <t>PM · BR p.9</t>
        </is>
      </c>
    </row>
    <row r="20" ht="36.75" customHeight="1" s="36">
      <c r="A20" s="8" t="inlineStr">
        <is>
          <t>T2.05</t>
        </is>
      </c>
      <c r="B20" s="8" t="inlineStr">
        <is>
          <t>T2</t>
        </is>
      </c>
      <c r="C20" s="16" t="inlineStr">
        <is>
          <t>Data pipeline and cleaning</t>
        </is>
      </c>
      <c r="D20" s="16" t="inlineStr">
        <is>
          <t>Flag potential outliers without automatically deleting them</t>
        </is>
      </c>
      <c r="E20" s="16" t="inlineStr">
        <is>
          <t>Raveena</t>
        </is>
      </c>
      <c r="F20" s="16" t="inlineStr">
        <is>
          <t>Done</t>
        </is>
      </c>
      <c r="G20" s="16" t="inlineStr">
        <is>
          <t>Week 1</t>
        </is>
      </c>
      <c r="H20" s="14" t="n"/>
      <c r="I20" s="16" t="inlineStr">
        <is>
          <t>outlier_flags_zscore.csv (abs z &gt; 5)</t>
        </is>
      </c>
      <c r="J20" s="16" t="n"/>
      <c r="K20" s="16" t="inlineStr">
        <is>
          <t>outlier_flags_zscore.csv (abs z &gt; 5)</t>
        </is>
      </c>
      <c r="L20" s="16" t="inlineStr">
        <is>
          <t>Critical</t>
        </is>
      </c>
      <c r="M20" s="16" t="inlineStr">
        <is>
          <t>T2.04</t>
        </is>
      </c>
      <c r="N20" s="16" t="inlineStr">
        <is>
          <t>PM · BR p.9</t>
        </is>
      </c>
    </row>
    <row r="21" ht="36.75" customHeight="1" s="36">
      <c r="A21" s="8" t="inlineStr">
        <is>
          <t>T2.06</t>
        </is>
      </c>
      <c r="B21" s="8" t="inlineStr">
        <is>
          <t>T2</t>
        </is>
      </c>
      <c r="C21" s="16" t="inlineStr">
        <is>
          <t>Data pipeline and cleaning</t>
        </is>
      </c>
      <c r="D21" s="16" t="inlineStr">
        <is>
          <t>Run ADF tests and export reproducible clean datasets</t>
        </is>
      </c>
      <c r="E21" s="16" t="inlineStr">
        <is>
          <t>Raveena</t>
        </is>
      </c>
      <c r="F21" s="16" t="inlineStr">
        <is>
          <t>Done</t>
        </is>
      </c>
      <c r="G21" s="16" t="inlineStr">
        <is>
          <t>Week 1</t>
        </is>
      </c>
      <c r="H21" s="14" t="n"/>
      <c r="I21" s="16" t="inlineStr">
        <is>
          <t>outputs/tables/adf_results.csv</t>
        </is>
      </c>
      <c r="J21" s="16" t="n"/>
      <c r="K21" s="16" t="inlineStr">
        <is>
          <t>outputs/tables/adf_results.csv</t>
        </is>
      </c>
      <c r="L21" s="16" t="inlineStr">
        <is>
          <t>Critical</t>
        </is>
      </c>
      <c r="M21" s="16" t="inlineStr">
        <is>
          <t>T2.04</t>
        </is>
      </c>
      <c r="N21" s="16" t="inlineStr">
        <is>
          <t>PM · BR p.9</t>
        </is>
      </c>
    </row>
    <row r="22" ht="36.75" customHeight="1" s="36">
      <c r="A22" s="8" t="inlineStr">
        <is>
          <t>T2.07</t>
        </is>
      </c>
      <c r="B22" s="8" t="inlineStr">
        <is>
          <t>T2</t>
        </is>
      </c>
      <c r="C22" s="16" t="inlineStr">
        <is>
          <t>Data pipeline and cleaning</t>
        </is>
      </c>
      <c r="D22" s="16" t="inlineStr">
        <is>
          <t>Move notebook logic into tested data-stage code; prove it reproduces the original files</t>
        </is>
      </c>
      <c r="E22" s="16" t="inlineStr">
        <is>
          <t>Raveena</t>
        </is>
      </c>
      <c r="F22" s="16" t="inlineStr">
        <is>
          <t>Done</t>
        </is>
      </c>
      <c r="G22" s="16" t="inlineStr">
        <is>
          <t>Week 1</t>
        </is>
      </c>
      <c r="H22" s="14" t="n"/>
      <c r="I22" s="16" t="inlineStr">
        <is>
          <t>src/quantedge/data/, regression test (diff ≤ 3e-14)</t>
        </is>
      </c>
      <c r="J22" s="16" t="n"/>
      <c r="K22" s="16" t="inlineStr">
        <is>
          <t>src/quantedge/data/, regression test (diff ≤ 3e-14)</t>
        </is>
      </c>
      <c r="L22" s="16" t="inlineStr">
        <is>
          <t>Critical</t>
        </is>
      </c>
      <c r="M22" s="16" t="inlineStr">
        <is>
          <t>T2.06</t>
        </is>
      </c>
      <c r="N22" s="16" t="inlineStr">
        <is>
          <t>REV · BR p.9 reproducible</t>
        </is>
      </c>
    </row>
    <row r="23" ht="36.75" customHeight="1" s="36">
      <c r="A23" s="8" t="inlineStr">
        <is>
          <t>T2.08</t>
        </is>
      </c>
      <c r="B23" s="8" t="inlineStr">
        <is>
          <t>T2</t>
        </is>
      </c>
      <c r="C23" s="16" t="inlineStr">
        <is>
          <t>Data pipeline and cleaning</t>
        </is>
      </c>
      <c r="D23" s="16" t="inlineStr">
        <is>
          <t>Calculate simple returns and state where simple vs log are used</t>
        </is>
      </c>
      <c r="E23" s="16" t="inlineStr">
        <is>
          <t>Raveena</t>
        </is>
      </c>
      <c r="F23" s="16" t="inlineStr">
        <is>
          <t>Done</t>
        </is>
      </c>
      <c r="G23" s="16" t="inlineStr">
        <is>
          <t>Week 1</t>
        </is>
      </c>
      <c r="H23" s="14" t="n"/>
      <c r="I23" s="16" t="inlineStr">
        <is>
          <t>simple_returns.csv; D17</t>
        </is>
      </c>
      <c r="J23" s="16" t="n"/>
      <c r="K23" s="16" t="inlineStr">
        <is>
          <t>simple_returns.csv; D17</t>
        </is>
      </c>
      <c r="L23" s="16" t="inlineStr">
        <is>
          <t>Critical</t>
        </is>
      </c>
      <c r="M23" s="16" t="inlineStr">
        <is>
          <t>T2.03</t>
        </is>
      </c>
      <c r="N23" s="16" t="inlineStr">
        <is>
          <t>BR p.9 · FJ M05</t>
        </is>
      </c>
    </row>
    <row r="24" ht="36.75" customHeight="1" s="36">
      <c r="A24" s="8" t="inlineStr">
        <is>
          <t>T2.09</t>
        </is>
      </c>
      <c r="B24" s="8" t="inlineStr">
        <is>
          <t>T2</t>
        </is>
      </c>
      <c r="C24" s="16" t="inlineStr">
        <is>
          <t>Data pipeline and cleaning</t>
        </is>
      </c>
      <c r="D24" s="16" t="inlineStr">
        <is>
          <t>Download FRED DTB3, DGS10, CPI; align to trading days without look-ahead</t>
        </is>
      </c>
      <c r="E24" s="16" t="inlineStr">
        <is>
          <t>Raveena</t>
        </is>
      </c>
      <c r="F24" s="16" t="inlineStr">
        <is>
          <t>Done</t>
        </is>
      </c>
      <c r="G24" s="16" t="inlineStr">
        <is>
          <t>Week 1</t>
        </is>
      </c>
      <c r="H24" s="14" t="n"/>
      <c r="I24" s="16" t="inlineStr">
        <is>
          <t>rates_daily.csv, cpi_monthly.csv</t>
        </is>
      </c>
      <c r="J24" s="16" t="n"/>
      <c r="K24" s="16" t="inlineStr">
        <is>
          <t>rates_daily.csv, cpi_monthly.csv</t>
        </is>
      </c>
      <c r="L24" s="16" t="inlineStr">
        <is>
          <t>Critical</t>
        </is>
      </c>
      <c r="M24" s="16" t="inlineStr">
        <is>
          <t>T2.03</t>
        </is>
      </c>
      <c r="N24" s="16" t="inlineStr">
        <is>
          <t>BR p.9 · FJ M04</t>
        </is>
      </c>
    </row>
    <row r="25" ht="36.75" customHeight="1" s="36">
      <c r="A25" s="8" t="inlineStr">
        <is>
          <t>T2.10</t>
        </is>
      </c>
      <c r="B25" s="8" t="inlineStr">
        <is>
          <t>T2</t>
        </is>
      </c>
      <c r="C25" s="16" t="inlineStr">
        <is>
          <t>Data pipeline and cleaning</t>
        </is>
      </c>
      <c r="D25" s="16" t="inlineStr">
        <is>
          <t>Extra quality checks: stale prices, jumps, reversals, large negatives, variance breaks</t>
        </is>
      </c>
      <c r="E25" s="16" t="inlineStr">
        <is>
          <t>Raveena</t>
        </is>
      </c>
      <c r="F25" s="16" t="inlineStr">
        <is>
          <t>Done</t>
        </is>
      </c>
      <c r="G25" s="16" t="inlineStr">
        <is>
          <t>Week 1</t>
        </is>
      </c>
      <c r="H25" s="14" t="n"/>
      <c r="I25" s="16" t="inlineStr">
        <is>
          <t>data_quality_flags.csv, flag counts, Inclán–Tiao table</t>
        </is>
      </c>
      <c r="J25" s="16" t="n"/>
      <c r="K25" s="16" t="inlineStr">
        <is>
          <t>data_quality_flags.csv, flag counts, Inclán–Tiao table</t>
        </is>
      </c>
      <c r="L25" s="16" t="inlineStr">
        <is>
          <t>Critical</t>
        </is>
      </c>
      <c r="M25" s="16" t="inlineStr">
        <is>
          <t>T2.04</t>
        </is>
      </c>
      <c r="N25" s="16" t="inlineStr">
        <is>
          <t>BR p.9</t>
        </is>
      </c>
    </row>
    <row r="26" ht="36.75" customHeight="1" s="36">
      <c r="A26" s="8" t="inlineStr">
        <is>
          <t>T2.11</t>
        </is>
      </c>
      <c r="B26" s="8" t="inlineStr">
        <is>
          <t>T2</t>
        </is>
      </c>
      <c r="C26" s="16" t="inlineStr">
        <is>
          <t>Data pipeline and cleaning</t>
        </is>
      </c>
      <c r="D26" s="16" t="inlineStr">
        <is>
          <t>Review every flag against market events; document decisions</t>
        </is>
      </c>
      <c r="E26" s="16" t="inlineStr">
        <is>
          <t>Raveena</t>
        </is>
      </c>
      <c r="F26" s="16" t="inlineStr">
        <is>
          <t>Done</t>
        </is>
      </c>
      <c r="G26" s="16" t="inlineStr">
        <is>
          <t>Week 1</t>
        </is>
      </c>
      <c r="H26" s="14" t="n"/>
      <c r="I26" s="16" t="inlineStr">
        <is>
          <t>Flag review table in data/README.md</t>
        </is>
      </c>
      <c r="J26" s="16" t="n"/>
      <c r="K26" s="16" t="inlineStr">
        <is>
          <t>Flag review table in data/README.md</t>
        </is>
      </c>
      <c r="L26" s="16" t="inlineStr">
        <is>
          <t>High</t>
        </is>
      </c>
      <c r="M26" s="16" t="inlineStr">
        <is>
          <t>T2.10</t>
        </is>
      </c>
      <c r="N26" s="16" t="inlineStr">
        <is>
          <t>BR p.9 'documented, not hidden'</t>
        </is>
      </c>
    </row>
    <row r="27" ht="36.75" customHeight="1" s="36">
      <c r="A27" s="8" t="inlineStr">
        <is>
          <t>T2.12</t>
        </is>
      </c>
      <c r="B27" s="8" t="inlineStr">
        <is>
          <t>T2</t>
        </is>
      </c>
      <c r="C27" s="16" t="inlineStr">
        <is>
          <t>Data pipeline and cleaning</t>
        </is>
      </c>
      <c r="D27" s="16" t="inlineStr">
        <is>
          <t>Confirm GLD −10.8% on 2026-01-30 against market news</t>
        </is>
      </c>
      <c r="E27" s="16" t="inlineStr">
        <is>
          <t>Raveena</t>
        </is>
      </c>
      <c r="F27" s="16" t="inlineStr">
        <is>
          <t>Not Started</t>
        </is>
      </c>
      <c r="G27" s="16" t="inlineStr">
        <is>
          <t>Week 1</t>
        </is>
      </c>
      <c r="H27" s="14" t="n"/>
      <c r="I27" s="16" t="n"/>
      <c r="J27" s="16" t="n"/>
      <c r="K27" s="16" t="inlineStr">
        <is>
          <t>Note in data/README.md</t>
        </is>
      </c>
      <c r="L27" s="16" t="inlineStr">
        <is>
          <t>Medium</t>
        </is>
      </c>
      <c r="M27" s="16" t="inlineStr">
        <is>
          <t>T2.11</t>
        </is>
      </c>
      <c r="N27" s="16" t="inlineStr">
        <is>
          <t>REV</t>
        </is>
      </c>
    </row>
    <row r="28" ht="36.75" customHeight="1" s="36">
      <c r="A28" s="8" t="inlineStr">
        <is>
          <t>T2.13</t>
        </is>
      </c>
      <c r="B28" s="8" t="inlineStr">
        <is>
          <t>T2</t>
        </is>
      </c>
      <c r="C28" s="16" t="inlineStr">
        <is>
          <t>Data pipeline and cleaning</t>
        </is>
      </c>
      <c r="D28" s="16" t="inlineStr">
        <is>
          <t>Implement chronological train / validation / test split in code</t>
        </is>
      </c>
      <c r="E28" s="16" t="inlineStr">
        <is>
          <t>Raveena</t>
        </is>
      </c>
      <c r="F28" s="16" t="inlineStr">
        <is>
          <t>Done</t>
        </is>
      </c>
      <c r="G28" s="16" t="inlineStr">
        <is>
          <t>Week 1</t>
        </is>
      </c>
      <c r="H28" s="14" t="n"/>
      <c r="I28" s="16" t="inlineStr">
        <is>
          <t>data/processed/split_labels.csv, outputs/tables/split_summary.csv, data/split.py + 5 tests</t>
        </is>
      </c>
      <c r="J28" s="16" t="n"/>
      <c r="K28" s="16" t="inlineStr">
        <is>
          <t>data/processed/split_labels.csv, outputs/tables/split_summary.csv, data/split.py + 5 tests</t>
        </is>
      </c>
      <c r="L28" s="16" t="inlineStr">
        <is>
          <t>Critical</t>
        </is>
      </c>
      <c r="M28" s="16" t="inlineStr">
        <is>
          <t>T1.07 (D5)</t>
        </is>
      </c>
      <c r="N28" s="16" t="inlineStr">
        <is>
          <t>FJ M06 · DEC D5</t>
        </is>
      </c>
    </row>
    <row r="29" ht="36.75" customHeight="1" s="36">
      <c r="A29" s="8" t="inlineStr">
        <is>
          <t>T2.14</t>
        </is>
      </c>
      <c r="B29" s="8" t="inlineStr">
        <is>
          <t>T2</t>
        </is>
      </c>
      <c r="C29" s="16" t="inlineStr">
        <is>
          <t>Data pipeline and cleaning</t>
        </is>
      </c>
      <c r="D29" s="16" t="inlineStr">
        <is>
          <t>Download ETF distributions (dividends) for the income objective</t>
        </is>
      </c>
      <c r="E29" s="16" t="inlineStr">
        <is>
          <t>Raveena</t>
        </is>
      </c>
      <c r="F29" s="16" t="inlineStr">
        <is>
          <t>Done</t>
        </is>
      </c>
      <c r="G29" s="16" t="inlineStr">
        <is>
          <t>Week 1</t>
        </is>
      </c>
      <c r="H29" s="14" t="n"/>
      <c r="I29" s="16" t="inlineStr">
        <is>
          <t>data/raw dividends snapshot; distribution yield per ETF</t>
        </is>
      </c>
      <c r="J29" s="16" t="n"/>
      <c r="K29" s="16" t="inlineStr">
        <is>
          <t>data/raw dividends snapshot; distribution yield per ETF</t>
        </is>
      </c>
      <c r="L29" s="16" t="inlineStr">
        <is>
          <t>Medium</t>
        </is>
      </c>
      <c r="M29" s="16" t="inlineStr">
        <is>
          <t>T2.01</t>
        </is>
      </c>
      <c r="N29" s="16" t="inlineStr">
        <is>
          <t>FJ M-N01 · BR p.3 income</t>
        </is>
      </c>
    </row>
    <row r="30" ht="36.75" customHeight="1" s="36">
      <c r="A30" s="8" t="inlineStr">
        <is>
          <t>T2.15</t>
        </is>
      </c>
      <c r="B30" s="8" t="inlineStr">
        <is>
          <t>T2</t>
        </is>
      </c>
      <c r="C30" s="16" t="inlineStr">
        <is>
          <t>Data pipeline and cleaning</t>
        </is>
      </c>
      <c r="D30" s="16" t="inlineStr">
        <is>
          <t>ETF instrument register: asset class, role, inception, distribution policy (no extra data sources)</t>
        </is>
      </c>
      <c r="E30" s="16" t="inlineStr">
        <is>
          <t>Raveena</t>
        </is>
      </c>
      <c r="F30" s="16" t="inlineStr">
        <is>
          <t>Not Started</t>
        </is>
      </c>
      <c r="G30" s="16" t="inlineStr">
        <is>
          <t>Week 1</t>
        </is>
      </c>
      <c r="H30" s="14" t="n"/>
      <c r="I30" s="16" t="n"/>
      <c r="J30" s="16" t="n"/>
      <c r="K30" s="16" t="inlineStr">
        <is>
          <t>docs/ETF_REGISTER.md</t>
        </is>
      </c>
      <c r="L30" s="16" t="inlineStr">
        <is>
          <t>Medium</t>
        </is>
      </c>
      <c r="M30" s="16" t="inlineStr">
        <is>
          <t>—</t>
        </is>
      </c>
      <c r="N30" s="16" t="inlineStr">
        <is>
          <t>FJ M03/M-N01</t>
        </is>
      </c>
    </row>
    <row r="31" ht="36.75" customHeight="1" s="36">
      <c r="A31" s="8" t="inlineStr">
        <is>
          <t>T2.16</t>
        </is>
      </c>
      <c r="B31" s="8" t="inlineStr">
        <is>
          <t>T2</t>
        </is>
      </c>
      <c r="C31" s="16" t="inlineStr">
        <is>
          <t>Data pipeline and cleaning</t>
        </is>
      </c>
      <c r="D31" s="16" t="inlineStr">
        <is>
          <t>Team sign-off of data-stage validation log entries</t>
        </is>
      </c>
      <c r="E31" s="16" t="inlineStr">
        <is>
          <t>Raveena</t>
        </is>
      </c>
      <c r="F31" s="16" t="inlineStr">
        <is>
          <t>Not Started</t>
        </is>
      </c>
      <c r="G31" s="16" t="inlineStr">
        <is>
          <t>Week 1</t>
        </is>
      </c>
      <c r="H31" s="14" t="n"/>
      <c r="I31" s="16" t="n"/>
      <c r="J31" s="16" t="n"/>
      <c r="K31" s="16" t="inlineStr">
        <is>
          <t>Signed rows in HUMAN_VALIDATION_LOG.md</t>
        </is>
      </c>
      <c r="L31" s="16" t="inlineStr">
        <is>
          <t>High</t>
        </is>
      </c>
      <c r="M31" s="16" t="inlineStr">
        <is>
          <t>T2.11</t>
        </is>
      </c>
      <c r="N31" s="16" t="inlineStr">
        <is>
          <t>BR p.8 · REV</t>
        </is>
      </c>
    </row>
    <row r="32" ht="36.75" customHeight="1" s="36">
      <c r="A32" s="8" t="inlineStr">
        <is>
          <t>T2.17</t>
        </is>
      </c>
      <c r="B32" s="8" t="inlineStr">
        <is>
          <t>T2</t>
        </is>
      </c>
      <c r="C32" s="16" t="inlineStr">
        <is>
          <t>Data pipeline and cleaning</t>
        </is>
      </c>
      <c r="D32" s="16" t="inlineStr">
        <is>
          <t>Move quarterly-rebalanced NAV/turnover function from research script into common/conventions with tests</t>
        </is>
      </c>
      <c r="E32" s="16" t="inlineStr">
        <is>
          <t>Malindu</t>
        </is>
      </c>
      <c r="F32" s="16" t="inlineStr">
        <is>
          <t>Done</t>
        </is>
      </c>
      <c r="G32" s="16" t="inlineStr">
        <is>
          <t>Week 1</t>
        </is>
      </c>
      <c r="H32" s="14" t="n"/>
      <c r="I32" s="16" t="inlineStr">
        <is>
          <t>conventions.rebalanced_returns + 4 tests; research script uses it (results identical, turnover −0.08 pp)</t>
        </is>
      </c>
      <c r="J32" s="16" t="n"/>
      <c r="K32" s="16" t="inlineStr">
        <is>
          <t>conventions.rebalanced_returns + 4 tests; research script uses it (results identical, turnover −0.08 pp)</t>
        </is>
      </c>
      <c r="L32" s="16" t="inlineStr">
        <is>
          <t>High</t>
        </is>
      </c>
      <c r="M32" s="16" t="inlineStr">
        <is>
          <t>T1.03</t>
        </is>
      </c>
      <c r="N32" s="16" t="inlineStr">
        <is>
          <t>Review: portfolio and benchmark must use identical rebalancing</t>
        </is>
      </c>
    </row>
    <row r="33" ht="36.75" customHeight="1" s="36">
      <c r="A33" s="8" t="inlineStr">
        <is>
          <t>T3.01</t>
        </is>
      </c>
      <c r="B33" s="8" t="inlineStr">
        <is>
          <t>T3</t>
        </is>
      </c>
      <c r="C33" s="16" t="inlineStr">
        <is>
          <t>Client mandate (investment policy)</t>
        </is>
      </c>
      <c r="D33" s="16" t="inlineStr">
        <is>
          <t>Define endowment horizon, investment purpose and liquidity needs</t>
        </is>
      </c>
      <c r="E33" s="16" t="inlineStr">
        <is>
          <t>Sujan</t>
        </is>
      </c>
      <c r="F33" s="16" t="inlineStr">
        <is>
          <t>Done</t>
        </is>
      </c>
      <c r="G33" s="16" t="inlineStr">
        <is>
          <t>Week 1</t>
        </is>
      </c>
      <c r="H33" s="14" t="n"/>
      <c r="I33" s="16" t="inlineStr">
        <is>
          <t>Horizon D4 + liquidity statement in IPS</t>
        </is>
      </c>
      <c r="J33" s="16" t="n"/>
      <c r="K33" s="16" t="inlineStr">
        <is>
          <t>Horizon D4 + liquidity statement in IPS</t>
        </is>
      </c>
      <c r="L33" s="16" t="inlineStr">
        <is>
          <t>Critical</t>
        </is>
      </c>
      <c r="M33" s="16" t="inlineStr">
        <is>
          <t>—</t>
        </is>
      </c>
      <c r="N33" s="16" t="inlineStr">
        <is>
          <t>PM · FJ M01 · BR p.4 · D4 PROPOSED 5y (used by D7)</t>
        </is>
      </c>
    </row>
    <row r="34" ht="36.75" customHeight="1" s="36">
      <c r="A34" s="8" t="inlineStr">
        <is>
          <t>T3.02</t>
        </is>
      </c>
      <c r="B34" s="8" t="inlineStr">
        <is>
          <t>T3</t>
        </is>
      </c>
      <c r="C34" s="16" t="inlineStr">
        <is>
          <t>Client mandate (investment policy)</t>
        </is>
      </c>
      <c r="D34" s="16" t="inlineStr">
        <is>
          <t>Propose justified return and inflation-protection objectives</t>
        </is>
      </c>
      <c r="E34" s="16" t="inlineStr">
        <is>
          <t>Sujan</t>
        </is>
      </c>
      <c r="F34" s="16" t="inlineStr">
        <is>
          <t>Done</t>
        </is>
      </c>
      <c r="G34" s="16" t="inlineStr">
        <is>
          <t>Week 1</t>
        </is>
      </c>
      <c r="H34" s="14" t="n"/>
      <c r="I34" s="16" t="inlineStr">
        <is>
          <t>Return objective D12 (CPI + x%) with evidence</t>
        </is>
      </c>
      <c r="J34" s="16" t="n"/>
      <c r="K34" s="16" t="inlineStr">
        <is>
          <t>Return objective D12 (CPI + x%) with evidence</t>
        </is>
      </c>
      <c r="L34" s="16" t="inlineStr">
        <is>
          <t>Critical</t>
        </is>
      </c>
      <c r="M34" s="16" t="inlineStr">
        <is>
          <t>T2.09</t>
        </is>
      </c>
      <c r="N34" s="16" t="inlineStr">
        <is>
          <t>PM · DEC D12 APPROVED (provisional)</t>
        </is>
      </c>
    </row>
    <row r="35" ht="36.75" customHeight="1" s="36">
      <c r="A35" s="8" t="inlineStr">
        <is>
          <t>T3.03</t>
        </is>
      </c>
      <c r="B35" s="8" t="inlineStr">
        <is>
          <t>T3</t>
        </is>
      </c>
      <c r="C35" s="16" t="inlineStr">
        <is>
          <t>Client mandate (investment policy)</t>
        </is>
      </c>
      <c r="D35" s="16" t="inlineStr">
        <is>
          <t>Set no-short-selling, allocation caps and risk-budget rules</t>
        </is>
      </c>
      <c r="E35" s="16" t="inlineStr">
        <is>
          <t>Sujan</t>
        </is>
      </c>
      <c r="F35" s="16" t="inlineStr">
        <is>
          <t>Done</t>
        </is>
      </c>
      <c r="G35" s="16" t="inlineStr">
        <is>
          <t>Week 1</t>
        </is>
      </c>
      <c r="H35" s="14" t="n"/>
      <c r="I35" s="16" t="inlineStr">
        <is>
          <t>Constraints D6 in config</t>
        </is>
      </c>
      <c r="J35" s="16" t="n"/>
      <c r="K35" s="16" t="inlineStr">
        <is>
          <t>Constraints D6 in config</t>
        </is>
      </c>
      <c r="L35" s="16" t="inlineStr">
        <is>
          <t>Critical</t>
        </is>
      </c>
      <c r="M35" s="16" t="inlineStr">
        <is>
          <t>T3.01</t>
        </is>
      </c>
      <c r="N35" s="16" t="inlineStr">
        <is>
          <t>PM · FJ M02 · BR p.4</t>
        </is>
      </c>
    </row>
    <row r="36" ht="36.75" customHeight="1" s="36">
      <c r="A36" s="8" t="inlineStr">
        <is>
          <t>T3.04</t>
        </is>
      </c>
      <c r="B36" s="8" t="inlineStr">
        <is>
          <t>T3</t>
        </is>
      </c>
      <c r="C36" s="16" t="inlineStr">
        <is>
          <t>Client mandate (investment policy)</t>
        </is>
      </c>
      <c r="D36" s="16" t="inlineStr">
        <is>
          <t>Propose VaR, ES and drawdown tolerances</t>
        </is>
      </c>
      <c r="E36" s="16" t="inlineStr">
        <is>
          <t>Sujan</t>
        </is>
      </c>
      <c r="F36" s="16" t="inlineStr">
        <is>
          <t>Done</t>
        </is>
      </c>
      <c r="G36" s="16" t="inlineStr">
        <is>
          <t>Week 1</t>
        </is>
      </c>
      <c r="H36" s="14" t="n"/>
      <c r="I36" s="16" t="inlineStr">
        <is>
          <t>Risk limits D7 (USD and % NAV)</t>
        </is>
      </c>
      <c r="J36" s="16" t="n"/>
      <c r="K36" s="16" t="inlineStr">
        <is>
          <t>Risk limits D7 (USD and % NAV)</t>
        </is>
      </c>
      <c r="L36" s="16" t="inlineStr">
        <is>
          <t>Critical</t>
        </is>
      </c>
      <c r="M36" s="16" t="inlineStr">
        <is>
          <t>T3.01</t>
        </is>
      </c>
      <c r="N36" s="16" t="inlineStr">
        <is>
          <t>PM · FJ M02 · BR p.4</t>
        </is>
      </c>
    </row>
    <row r="37" ht="36.75" customHeight="1" s="36">
      <c r="A37" s="8" t="inlineStr">
        <is>
          <t>T3.05</t>
        </is>
      </c>
      <c r="B37" s="8" t="inlineStr">
        <is>
          <t>T3</t>
        </is>
      </c>
      <c r="C37" s="16" t="inlineStr">
        <is>
          <t>Client mandate (investment policy)</t>
        </is>
      </c>
      <c r="D37" s="16" t="inlineStr">
        <is>
          <t>Document assumptions and secure team agreement</t>
        </is>
      </c>
      <c r="E37" s="16" t="inlineStr">
        <is>
          <t>Sujan</t>
        </is>
      </c>
      <c r="F37" s="16" t="inlineStr">
        <is>
          <t>Not Started</t>
        </is>
      </c>
      <c r="G37" s="16" t="inlineStr">
        <is>
          <t>Week 1</t>
        </is>
      </c>
      <c r="H37" s="14" t="n"/>
      <c r="I37" s="16" t="n"/>
      <c r="J37" s="16" t="n"/>
      <c r="K37" s="16" t="inlineStr">
        <is>
          <t>docs/IPS.md consolidating D4, D6, D7, D10, D12 (one source for report + app)</t>
        </is>
      </c>
      <c r="L37" s="16" t="inlineStr">
        <is>
          <t>Critical</t>
        </is>
      </c>
      <c r="M37" s="16" t="inlineStr">
        <is>
          <t>T3.01–T3.08</t>
        </is>
      </c>
      <c r="N37" s="16" t="inlineStr">
        <is>
          <t>PM</t>
        </is>
      </c>
    </row>
    <row r="38" ht="36.75" customHeight="1" s="36">
      <c r="A38" s="8" t="inlineStr">
        <is>
          <t>T3.06</t>
        </is>
      </c>
      <c r="B38" s="8" t="inlineStr">
        <is>
          <t>T3</t>
        </is>
      </c>
      <c r="C38" s="16" t="inlineStr">
        <is>
          <t>Client mandate (investment policy)</t>
        </is>
      </c>
      <c r="D38" s="16" t="inlineStr">
        <is>
          <t>Spending rule and cost assumptions (spending rate, turnover cost; ETF fees already in prices)</t>
        </is>
      </c>
      <c r="E38" s="16" t="inlineStr">
        <is>
          <t>Sujan</t>
        </is>
      </c>
      <c r="F38" s="16" t="inlineStr">
        <is>
          <t>In Progress</t>
        </is>
      </c>
      <c r="G38" s="16" t="inlineStr">
        <is>
          <t>Week 1</t>
        </is>
      </c>
      <c r="H38" s="14" t="n"/>
      <c r="I38" s="16" t="n"/>
      <c r="J38" s="16" t="n"/>
      <c r="K38" s="16" t="inlineStr">
        <is>
          <t>Cost/spending section in IPS</t>
        </is>
      </c>
      <c r="L38" s="16" t="inlineStr">
        <is>
          <t>High</t>
        </is>
      </c>
      <c r="M38" s="16" t="inlineStr">
        <is>
          <t>T3.02</t>
        </is>
      </c>
      <c r="N38" s="16" t="inlineStr">
        <is>
          <t>FJ M-N02 · D12 S/C approved; IPS write-up pending</t>
        </is>
      </c>
    </row>
    <row r="39" ht="36.75" customHeight="1" s="36">
      <c r="A39" s="8" t="inlineStr">
        <is>
          <t>T3.07</t>
        </is>
      </c>
      <c r="B39" s="8" t="inlineStr">
        <is>
          <t>T3</t>
        </is>
      </c>
      <c r="C39" s="16" t="inlineStr">
        <is>
          <t>Client mandate (investment policy)</t>
        </is>
      </c>
      <c r="D39" s="16" t="inlineStr">
        <is>
          <t>Rebalancing policy (frequency, drift band)</t>
        </is>
      </c>
      <c r="E39" s="16" t="inlineStr">
        <is>
          <t>Sujan</t>
        </is>
      </c>
      <c r="F39" s="16" t="inlineStr">
        <is>
          <t>Done</t>
        </is>
      </c>
      <c r="G39" s="16" t="inlineStr">
        <is>
          <t>Week 1</t>
        </is>
      </c>
      <c r="H39" s="14" t="n"/>
      <c r="I39" s="16" t="inlineStr">
        <is>
          <t>D11 approved; config</t>
        </is>
      </c>
      <c r="J39" s="16" t="n"/>
      <c r="K39" s="16" t="inlineStr">
        <is>
          <t>D11 approved; config</t>
        </is>
      </c>
      <c r="L39" s="16" t="inlineStr">
        <is>
          <t>High</t>
        </is>
      </c>
      <c r="M39" s="16" t="inlineStr">
        <is>
          <t>T3.01</t>
        </is>
      </c>
      <c r="N39" s="16" t="inlineStr">
        <is>
          <t>DEC D11 PROPOSED quarterly (used by D3 benchmark)</t>
        </is>
      </c>
    </row>
    <row r="40" ht="36.75" customHeight="1" s="36">
      <c r="A40" s="8" t="inlineStr">
        <is>
          <t>T3.08</t>
        </is>
      </c>
      <c r="B40" s="8" t="inlineStr">
        <is>
          <t>T3</t>
        </is>
      </c>
      <c r="C40" s="16" t="inlineStr">
        <is>
          <t>Client mandate (investment policy)</t>
        </is>
      </c>
      <c r="D40" s="16" t="inlineStr">
        <is>
          <t>Choose benchmarks: CAPM market proxy and policy benchmark</t>
        </is>
      </c>
      <c r="E40" s="16" t="inlineStr">
        <is>
          <t>Sujan</t>
        </is>
      </c>
      <c r="F40" s="16" t="inlineStr">
        <is>
          <t>Done</t>
        </is>
      </c>
      <c r="G40" s="16" t="inlineStr">
        <is>
          <t>Week 1</t>
        </is>
      </c>
      <c r="H40" s="14" t="n"/>
      <c r="I40" s="16" t="inlineStr">
        <is>
          <t>D3 approved; config</t>
        </is>
      </c>
      <c r="J40" s="16" t="n"/>
      <c r="K40" s="16" t="inlineStr">
        <is>
          <t>D3 approved; config</t>
        </is>
      </c>
      <c r="L40" s="16" t="inlineStr">
        <is>
          <t>Critical</t>
        </is>
      </c>
      <c r="M40" s="16" t="inlineStr">
        <is>
          <t>—</t>
        </is>
      </c>
      <c r="N40" s="16" t="inlineStr">
        <is>
          <t>DEC D3 · BR p.7</t>
        </is>
      </c>
    </row>
    <row r="41" ht="36.75" customHeight="1" s="36">
      <c r="A41" s="8" t="inlineStr">
        <is>
          <t>T3.09</t>
        </is>
      </c>
      <c r="B41" s="8" t="inlineStr">
        <is>
          <t>T3</t>
        </is>
      </c>
      <c r="C41" s="16" t="inlineStr">
        <is>
          <t>Client mandate (investment policy)</t>
        </is>
      </c>
      <c r="D41" s="16" t="inlineStr">
        <is>
          <t>Define suitability criteria used by the decision gate</t>
        </is>
      </c>
      <c r="E41" s="16" t="inlineStr">
        <is>
          <t>Sujan</t>
        </is>
      </c>
      <c r="F41" s="16" t="inlineStr">
        <is>
          <t>In Progress</t>
        </is>
      </c>
      <c r="G41" s="16" t="inlineStr">
        <is>
          <t>Week 1</t>
        </is>
      </c>
      <c r="H41" s="14" t="n"/>
      <c r="I41" s="16" t="n"/>
      <c r="J41" s="16" t="n"/>
      <c r="K41" s="16" t="inlineStr">
        <is>
          <t>Checklist: return hurdle, ES/DD limits, validation pass</t>
        </is>
      </c>
      <c r="L41" s="16" t="inlineStr">
        <is>
          <t>High</t>
        </is>
      </c>
      <c r="M41" s="16" t="inlineStr">
        <is>
          <t>T3.02, T3.04</t>
        </is>
      </c>
      <c r="N41" s="16" t="inlineStr">
        <is>
          <t>FJ VD08 · D7 + D12 define criteria; checklist pending</t>
        </is>
      </c>
    </row>
    <row r="42" ht="36.75" customHeight="1" s="36">
      <c r="A42" s="8" t="inlineStr">
        <is>
          <t>T3.10</t>
        </is>
      </c>
      <c r="B42" s="8" t="inlineStr">
        <is>
          <t>T3</t>
        </is>
      </c>
      <c r="C42" s="16" t="inlineStr">
        <is>
          <t>Client mandate (investment policy)</t>
        </is>
      </c>
      <c r="D42" s="16" t="inlineStr">
        <is>
          <t>Confirm no cash sleeve / derivatives; spending liquidity from AGG</t>
        </is>
      </c>
      <c r="E42" s="16" t="inlineStr">
        <is>
          <t>Sujan</t>
        </is>
      </c>
      <c r="F42" s="16" t="inlineStr">
        <is>
          <t>Done</t>
        </is>
      </c>
      <c r="G42" s="16" t="inlineStr">
        <is>
          <t>Week 1</t>
        </is>
      </c>
      <c r="H42" s="14" t="n"/>
      <c r="I42" s="16" t="inlineStr">
        <is>
          <t>D10 in IPS</t>
        </is>
      </c>
      <c r="J42" s="16" t="n"/>
      <c r="K42" s="16" t="inlineStr">
        <is>
          <t>D10 in IPS</t>
        </is>
      </c>
      <c r="L42" s="16" t="inlineStr">
        <is>
          <t>High</t>
        </is>
      </c>
      <c r="M42" s="16" t="inlineStr">
        <is>
          <t>—</t>
        </is>
      </c>
      <c r="N42" s="16" t="inlineStr">
        <is>
          <t>DEC D10</t>
        </is>
      </c>
    </row>
    <row r="43" ht="36.75" customHeight="1" s="36">
      <c r="A43" s="8" t="inlineStr">
        <is>
          <t>T3.11</t>
        </is>
      </c>
      <c r="B43" s="8" t="inlineStr">
        <is>
          <t>T3</t>
        </is>
      </c>
      <c r="C43" s="16" t="inlineStr">
        <is>
          <t>Client mandate (investment policy)</t>
        </is>
      </c>
      <c r="D43" s="16" t="inlineStr">
        <is>
          <t>Required-vs-expected return table (breakeven inflation, CAPM, income yield, history; ERP and withholding sensitivity)</t>
        </is>
      </c>
      <c r="E43" s="16" t="inlineStr">
        <is>
          <t>Sujan</t>
        </is>
      </c>
      <c r="F43" s="16" t="inlineStr">
        <is>
          <t>Done</t>
        </is>
      </c>
      <c r="G43" s="16" t="inlineStr">
        <is>
          <t>Week 1</t>
        </is>
      </c>
      <c r="H43" s="14" t="n"/>
      <c r="I43" s="16" t="inlineStr">
        <is>
          <t>outputs/tables/required_return_grid.csv, cma_assets.csv, required_vs_expected.csv</t>
        </is>
      </c>
      <c r="J43" s="16" t="n"/>
      <c r="K43" s="16" t="inlineStr">
        <is>
          <t>outputs/tables/required_return_grid.csv, cma_assets.csv, required_vs_expected.csv</t>
        </is>
      </c>
      <c r="L43" s="16" t="inlineStr">
        <is>
          <t>Critical</t>
        </is>
      </c>
      <c r="M43" s="16" t="inlineStr">
        <is>
          <t>T2.09, T2.14</t>
        </is>
      </c>
      <c r="N43" s="16" t="inlineStr">
        <is>
          <t>DEC D12</t>
        </is>
      </c>
    </row>
    <row r="44" ht="36.75" customHeight="1" s="36">
      <c r="A44" s="8" t="inlineStr">
        <is>
          <t>T3.12</t>
        </is>
      </c>
      <c r="B44" s="8" t="inlineStr">
        <is>
          <t>T3</t>
        </is>
      </c>
      <c r="C44" s="16" t="inlineStr">
        <is>
          <t>Client mandate (investment policy)</t>
        </is>
      </c>
      <c r="D44" s="16" t="inlineStr">
        <is>
          <t>Choose base ERP and risk-free assumption for expected returns (own-data ERP 9.7%, CI 3.5–15.8%, too wide to use alone)</t>
        </is>
      </c>
      <c r="E44" s="16" t="inlineStr">
        <is>
          <t>Sujan</t>
        </is>
      </c>
      <c r="F44" s="16" t="inlineStr">
        <is>
          <t>Done</t>
        </is>
      </c>
      <c r="G44" s="16" t="inlineStr">
        <is>
          <t>Week 1</t>
        </is>
      </c>
      <c r="H44" s="14" t="n"/>
      <c r="I44" s="16" t="inlineStr">
        <is>
          <t>ERP base + rf choice in DECISIONS.md</t>
        </is>
      </c>
      <c r="J44" s="16" t="n"/>
      <c r="K44" s="16" t="inlineStr">
        <is>
          <t>ERP base + rf choice in DECISIONS.md</t>
        </is>
      </c>
      <c r="L44" s="16" t="inlineStr">
        <is>
          <t>Critical</t>
        </is>
      </c>
      <c r="M44" s="16" t="inlineStr">
        <is>
          <t>T3.11</t>
        </is>
      </c>
      <c r="N44" s="16" t="inlineStr">
        <is>
          <t>DEC D12</t>
        </is>
      </c>
    </row>
    <row r="45" ht="36.75" customHeight="1" s="36">
      <c r="A45" s="8" t="inlineStr">
        <is>
          <t>T3.13</t>
        </is>
      </c>
      <c r="B45" s="8" t="inlineStr">
        <is>
          <t>T3</t>
        </is>
      </c>
      <c r="C45" s="16" t="inlineStr">
        <is>
          <t>Client mandate (investment policy)</t>
        </is>
      </c>
      <c r="D45" s="16" t="inlineStr">
        <is>
          <t>Confirm base spending rate, real growth and extra costs (S, G, C); cite the spending benchmark source</t>
        </is>
      </c>
      <c r="E45" s="16" t="inlineStr">
        <is>
          <t>All members</t>
        </is>
      </c>
      <c r="F45" s="16" t="inlineStr">
        <is>
          <t>Done</t>
        </is>
      </c>
      <c r="G45" s="16" t="inlineStr">
        <is>
          <t>Week 1</t>
        </is>
      </c>
      <c r="H45" s="14" t="n"/>
      <c r="I45" s="16" t="inlineStr">
        <is>
          <t>D12 values APPROVED</t>
        </is>
      </c>
      <c r="J45" s="16" t="n"/>
      <c r="K45" s="16" t="inlineStr">
        <is>
          <t>D12 values APPROVED</t>
        </is>
      </c>
      <c r="L45" s="16" t="inlineStr">
        <is>
          <t>Critical</t>
        </is>
      </c>
      <c r="M45" s="16" t="inlineStr">
        <is>
          <t>T3.11</t>
        </is>
      </c>
      <c r="N45" s="16" t="inlineStr">
        <is>
          <t>DEC D12</t>
        </is>
      </c>
    </row>
    <row r="46" ht="36.75" customHeight="1" s="36">
      <c r="A46" s="8" t="inlineStr">
        <is>
          <t>T3.15</t>
        </is>
      </c>
      <c r="B46" s="8" t="inlineStr">
        <is>
          <t>T3</t>
        </is>
      </c>
      <c r="C46" s="16" t="inlineStr">
        <is>
          <t>Client mandate (investment policy)</t>
        </is>
      </c>
      <c r="D46" s="16" t="inlineStr">
        <is>
          <t>Highest sustainable spending per portfolio + auto-generated one-page summary</t>
        </is>
      </c>
      <c r="E46" s="16" t="inlineStr">
        <is>
          <t>Sujan</t>
        </is>
      </c>
      <c r="F46" s="16" t="inlineStr">
        <is>
          <t>Done</t>
        </is>
      </c>
      <c r="G46" s="16" t="inlineStr">
        <is>
          <t>Week 1</t>
        </is>
      </c>
      <c r="H46" s="14" t="n"/>
      <c r="I46" s="16" t="inlineStr">
        <is>
          <t>outputs/reports/return_objective_summary.md</t>
        </is>
      </c>
      <c r="J46" s="16" t="n"/>
      <c r="K46" s="16" t="inlineStr">
        <is>
          <t>outputs/reports/return_objective_summary.md</t>
        </is>
      </c>
      <c r="L46" s="16" t="inlineStr">
        <is>
          <t>High</t>
        </is>
      </c>
      <c r="M46" s="16" t="inlineStr">
        <is>
          <t>T3.11</t>
        </is>
      </c>
      <c r="N46" s="16" t="inlineStr">
        <is>
          <t>DEC D12 (shortfall policy: lower spending)</t>
        </is>
      </c>
    </row>
    <row r="47" ht="36.75" customHeight="1" s="36">
      <c r="A47" s="8" t="inlineStr">
        <is>
          <t>T3.16</t>
        </is>
      </c>
      <c r="B47" s="8" t="inlineStr">
        <is>
          <t>T3</t>
        </is>
      </c>
      <c r="C47" s="16" t="inlineStr">
        <is>
          <t>Client mandate (investment policy)</t>
        </is>
      </c>
      <c r="D47" s="16" t="inlineStr">
        <is>
          <t>Revisit S, G, C and ERP after further team research; rerun and compare</t>
        </is>
      </c>
      <c r="E47" s="16" t="inlineStr">
        <is>
          <t>All members</t>
        </is>
      </c>
      <c r="F47" s="16" t="inlineStr">
        <is>
          <t>Not Started</t>
        </is>
      </c>
      <c r="G47" s="16" t="inlineStr">
        <is>
          <t>Week 1</t>
        </is>
      </c>
      <c r="H47" s="14" t="n"/>
      <c r="I47" s="16" t="n"/>
      <c r="J47" s="16" t="n"/>
      <c r="K47" s="16" t="inlineStr">
        <is>
          <t>Updated D12 values + summary</t>
        </is>
      </c>
      <c r="L47" s="16" t="inlineStr">
        <is>
          <t>Medium</t>
        </is>
      </c>
      <c r="M47" s="16" t="inlineStr">
        <is>
          <t>T3.13</t>
        </is>
      </c>
      <c r="N47" s="16" t="inlineStr">
        <is>
          <t>Team 2026-10-28</t>
        </is>
      </c>
    </row>
    <row r="48" ht="36.75" customHeight="1" s="36">
      <c r="A48" s="8" t="inlineStr">
        <is>
          <t>T3.17</t>
        </is>
      </c>
      <c r="B48" s="8" t="inlineStr">
        <is>
          <t>T3</t>
        </is>
      </c>
      <c r="C48" s="16" t="inlineStr">
        <is>
          <t>Client mandate (investment policy)</t>
        </is>
      </c>
      <c r="D48" s="16" t="inlineStr">
        <is>
          <t>Research and approve D3 benchmark structure</t>
        </is>
      </c>
      <c r="E48" s="16" t="inlineStr">
        <is>
          <t>All members</t>
        </is>
      </c>
      <c r="F48" s="16" t="inlineStr">
        <is>
          <t>Done</t>
        </is>
      </c>
      <c r="G48" s="16" t="inlineStr">
        <is>
          <t>Week 1</t>
        </is>
      </c>
      <c r="H48" s="14" t="n"/>
      <c r="I48" s="16" t="inlineStr">
        <is>
          <t>Research doc §1; D3 APPROVED</t>
        </is>
      </c>
      <c r="J48" s="16" t="n"/>
      <c r="K48" s="16" t="inlineStr">
        <is>
          <t>Research doc §1; D3 APPROVED</t>
        </is>
      </c>
      <c r="L48" s="16" t="inlineStr">
        <is>
          <t>Critical</t>
        </is>
      </c>
      <c r="M48" s="16" t="inlineStr">
        <is>
          <t>T3.11</t>
        </is>
      </c>
      <c r="N48" s="16" t="inlineStr">
        <is>
          <t>Research 2026-10-28 (analysis done, approval pending)</t>
        </is>
      </c>
    </row>
    <row r="49" ht="36.75" customHeight="1" s="36">
      <c r="A49" s="8" t="inlineStr">
        <is>
          <t>T3.18</t>
        </is>
      </c>
      <c r="B49" s="8" t="inlineStr">
        <is>
          <t>T3</t>
        </is>
      </c>
      <c r="C49" s="16" t="inlineStr">
        <is>
          <t>Client mandate (investment policy)</t>
        </is>
      </c>
      <c r="D49" s="16" t="inlineStr">
        <is>
          <t>Research and approve D7 provisional risk limits</t>
        </is>
      </c>
      <c r="E49" s="16" t="inlineStr">
        <is>
          <t>All members</t>
        </is>
      </c>
      <c r="F49" s="16" t="inlineStr">
        <is>
          <t>Done</t>
        </is>
      </c>
      <c r="G49" s="16" t="inlineStr">
        <is>
          <t>Week 1</t>
        </is>
      </c>
      <c r="H49" s="14" t="n"/>
      <c r="I49" s="16" t="inlineStr">
        <is>
          <t>Research doc §2/§4; D7 APPROVED</t>
        </is>
      </c>
      <c r="J49" s="16" t="n"/>
      <c r="K49" s="16" t="inlineStr">
        <is>
          <t>Research doc §2/§4; D7 APPROVED</t>
        </is>
      </c>
      <c r="L49" s="16" t="inlineStr">
        <is>
          <t>Critical</t>
        </is>
      </c>
      <c r="M49" s="16" t="inlineStr">
        <is>
          <t>T3.17</t>
        </is>
      </c>
      <c r="N49" s="16" t="inlineStr">
        <is>
          <t>Research 2026-10-28 (analysis done, approval pending)</t>
        </is>
      </c>
    </row>
    <row r="50" ht="36.75" customHeight="1" s="36">
      <c r="A50" s="8" t="inlineStr">
        <is>
          <t>T3.19</t>
        </is>
      </c>
      <c r="B50" s="8" t="inlineStr">
        <is>
          <t>T3</t>
        </is>
      </c>
      <c r="C50" s="16" t="inlineStr">
        <is>
          <t>Client mandate (investment policy)</t>
        </is>
      </c>
      <c r="D50" s="16" t="inlineStr">
        <is>
          <t>Committee choice on the drawdown ↔ spending trade-off (20% → 2.1%, 25% → 2.8%)</t>
        </is>
      </c>
      <c r="E50" s="16" t="inlineStr">
        <is>
          <t>All members</t>
        </is>
      </c>
      <c r="F50" s="16" t="inlineStr">
        <is>
          <t>Done</t>
        </is>
      </c>
      <c r="G50" s="16" t="inlineStr">
        <is>
          <t>Week 1</t>
        </is>
      </c>
      <c r="H50" s="14" t="n"/>
      <c r="I50" s="16" t="inlineStr">
        <is>
          <t>Recorded in D7/D12</t>
        </is>
      </c>
      <c r="J50" s="16" t="n"/>
      <c r="K50" s="16" t="inlineStr">
        <is>
          <t>Recorded in D7/D12</t>
        </is>
      </c>
      <c r="L50" s="16" t="inlineStr">
        <is>
          <t>Critical</t>
        </is>
      </c>
      <c r="M50" s="16" t="inlineStr">
        <is>
          <t>T3.18</t>
        </is>
      </c>
      <c r="N50" s="16" t="inlineStr">
        <is>
          <t>Research §4</t>
        </is>
      </c>
    </row>
    <row r="51" ht="36.75" customHeight="1" s="36">
      <c r="A51" s="8" t="inlineStr">
        <is>
          <t>T3.20</t>
        </is>
      </c>
      <c r="B51" s="8" t="inlineStr">
        <is>
          <t>T3</t>
        </is>
      </c>
      <c r="C51" s="16" t="inlineStr">
        <is>
          <t>Client mandate (investment policy)</t>
        </is>
      </c>
      <c r="D51" s="16" t="inlineStr">
        <is>
          <t>Fix model warnings: daily covariance, per-ETF withholding, risk-free scenarios, separate gold assessment</t>
        </is>
      </c>
      <c r="E51" s="16" t="inlineStr">
        <is>
          <t>Sujan</t>
        </is>
      </c>
      <c r="F51" s="16" t="inlineStr">
        <is>
          <t>Done</t>
        </is>
      </c>
      <c r="G51" s="16" t="inlineStr">
        <is>
          <t>Week 1</t>
        </is>
      </c>
      <c r="H51" s="14" t="n"/>
      <c r="I51" s="16" t="inlineStr">
        <is>
          <t>Research doc §7–§8; cma.py; 2 tests</t>
        </is>
      </c>
      <c r="J51" s="16" t="n"/>
      <c r="K51" s="16" t="inlineStr">
        <is>
          <t>Research doc §7–§8; cma.py; 2 tests</t>
        </is>
      </c>
      <c r="L51" s="16" t="inlineStr">
        <is>
          <t>Critical</t>
        </is>
      </c>
      <c r="M51" s="16" t="inlineStr">
        <is>
          <t>T3.11</t>
        </is>
      </c>
      <c r="N51" s="16" t="inlineStr">
        <is>
          <t>Team warnings 2026-10-28</t>
        </is>
      </c>
    </row>
    <row r="52" ht="36.75" customHeight="1" s="36">
      <c r="A52" s="8" t="inlineStr">
        <is>
          <t>T3.21</t>
        </is>
      </c>
      <c r="B52" s="8" t="inlineStr">
        <is>
          <t>T3</t>
        </is>
      </c>
      <c r="C52" s="16" t="inlineStr">
        <is>
          <t>Client mandate (investment policy)</t>
        </is>
      </c>
      <c r="D52" s="16" t="inlineStr">
        <is>
          <t>Risk tolerance approximation: willingness (mandate wording, peer losses) vs ability (capacity); tolerance = lower of the two</t>
        </is>
      </c>
      <c r="E52" s="16" t="inlineStr">
        <is>
          <t>Sujan</t>
        </is>
      </c>
      <c r="F52" s="16" t="inlineStr">
        <is>
          <t>Done</t>
        </is>
      </c>
      <c r="G52" s="16" t="inlineStr">
        <is>
          <t>Week 1</t>
        </is>
      </c>
      <c r="H52" s="14" t="n"/>
      <c r="I52" s="16" t="inlineStr">
        <is>
          <t>Tolerance statement in research doc §9 + IPS</t>
        </is>
      </c>
      <c r="J52" s="16" t="n"/>
      <c r="K52" s="16" t="inlineStr">
        <is>
          <t>Tolerance statement in research doc §9 + IPS</t>
        </is>
      </c>
      <c r="L52" s="16" t="inlineStr">
        <is>
          <t>Critical</t>
        </is>
      </c>
      <c r="M52" s="16" t="inlineStr">
        <is>
          <t>T3.22</t>
        </is>
      </c>
      <c r="N52" s="16" t="inlineStr">
        <is>
          <t>Team 2026-10-28 (12-factor review)</t>
        </is>
      </c>
    </row>
    <row r="53" ht="36.75" customHeight="1" s="36">
      <c r="A53" s="8" t="inlineStr">
        <is>
          <t>T3.22</t>
        </is>
      </c>
      <c r="B53" s="8" t="inlineStr">
        <is>
          <t>T3</t>
        </is>
      </c>
      <c r="C53" s="16" t="inlineStr">
        <is>
          <t>Client mandate (investment policy)</t>
        </is>
      </c>
      <c r="D53" s="16" t="inlineStr">
        <is>
          <t>Risk capacity: largest loss the fund can take while keeping spending and real value within floors (analytic + bootstrap with spending)</t>
        </is>
      </c>
      <c r="E53" s="16" t="inlineStr">
        <is>
          <t>Sujan</t>
        </is>
      </c>
      <c r="F53" s="16" t="inlineStr">
        <is>
          <t>Done</t>
        </is>
      </c>
      <c r="G53" s="16" t="inlineStr">
        <is>
          <t>Week 1</t>
        </is>
      </c>
      <c r="H53" s="14" t="n"/>
      <c r="I53" s="16" t="inlineStr">
        <is>
          <t>Capacity table by allocation</t>
        </is>
      </c>
      <c r="J53" s="16" t="n"/>
      <c r="K53" s="16" t="inlineStr">
        <is>
          <t>Capacity table by allocation</t>
        </is>
      </c>
      <c r="L53" s="16" t="inlineStr">
        <is>
          <t>Critical</t>
        </is>
      </c>
      <c r="M53" s="16" t="inlineStr">
        <is>
          <t>T3.11</t>
        </is>
      </c>
      <c r="N53" s="16" t="inlineStr">
        <is>
          <t>12-factor review #2</t>
        </is>
      </c>
    </row>
    <row r="54" ht="36.75" customHeight="1" s="36">
      <c r="A54" s="8" t="inlineStr">
        <is>
          <t>T3.23</t>
        </is>
      </c>
      <c r="B54" s="8" t="inlineStr">
        <is>
          <t>T3</t>
        </is>
      </c>
      <c r="C54" s="16" t="inlineStr">
        <is>
          <t>Client mandate (investment policy)</t>
        </is>
      </c>
      <c r="D54" s="16" t="inlineStr">
        <is>
          <t>Spending continuity after losses: fixed-real-dollar vs %-of-NAV vs smoothing rule over 5-year paths</t>
        </is>
      </c>
      <c r="E54" s="16" t="inlineStr">
        <is>
          <t>Sujan</t>
        </is>
      </c>
      <c r="F54" s="16" t="inlineStr">
        <is>
          <t>Done</t>
        </is>
      </c>
      <c r="G54" s="16" t="inlineStr">
        <is>
          <t>Week 1</t>
        </is>
      </c>
      <c r="H54" s="14" t="n"/>
      <c r="I54" s="16" t="inlineStr">
        <is>
          <t>Spending-rule comparison; proposed rule (D24)</t>
        </is>
      </c>
      <c r="J54" s="16" t="n"/>
      <c r="K54" s="16" t="inlineStr">
        <is>
          <t>Spending-rule comparison; proposed rule (D24)</t>
        </is>
      </c>
      <c r="L54" s="16" t="inlineStr">
        <is>
          <t>Critical</t>
        </is>
      </c>
      <c r="M54" s="16" t="inlineStr">
        <is>
          <t>T3.22</t>
        </is>
      </c>
      <c r="N54" s="16" t="inlineStr">
        <is>
          <t>12-factor review #3</t>
        </is>
      </c>
    </row>
    <row r="55" ht="36.75" customHeight="1" s="36">
      <c r="A55" s="8" t="inlineStr">
        <is>
          <t>T3.24</t>
        </is>
      </c>
      <c r="B55" s="8" t="inlineStr">
        <is>
          <t>T3</t>
        </is>
      </c>
      <c r="C55" s="16" t="inlineStr">
        <is>
          <t>Client mandate (investment policy)</t>
        </is>
      </c>
      <c r="D55" s="16" t="inlineStr">
        <is>
          <t>Recovery time after 10/15/20/25% losses: historical and forward (bootstrap)</t>
        </is>
      </c>
      <c r="E55" s="16" t="inlineStr">
        <is>
          <t>Dewmini</t>
        </is>
      </c>
      <c r="F55" s="16" t="inlineStr">
        <is>
          <t>Done</t>
        </is>
      </c>
      <c r="G55" s="16" t="inlineStr">
        <is>
          <t>Week 1</t>
        </is>
      </c>
      <c r="H55" s="14" t="n"/>
      <c r="I55" s="16" t="inlineStr">
        <is>
          <t>Recovery-time table</t>
        </is>
      </c>
      <c r="J55" s="16" t="n"/>
      <c r="K55" s="16" t="inlineStr">
        <is>
          <t>Recovery-time table</t>
        </is>
      </c>
      <c r="L55" s="16" t="inlineStr">
        <is>
          <t>High</t>
        </is>
      </c>
      <c r="M55" s="16" t="inlineStr">
        <is>
          <t>T6.12</t>
        </is>
      </c>
      <c r="N55" s="16" t="inlineStr">
        <is>
          <t>12-factor review #8</t>
        </is>
      </c>
    </row>
    <row r="56" ht="36.75" customHeight="1" s="36">
      <c r="A56" s="8" t="inlineStr">
        <is>
          <t>T3.25</t>
        </is>
      </c>
      <c r="B56" s="8" t="inlineStr">
        <is>
          <t>T3</t>
        </is>
      </c>
      <c r="C56" s="16" t="inlineStr">
        <is>
          <t>Client mandate (investment policy)</t>
        </is>
      </c>
      <c r="D56" s="16" t="inlineStr">
        <is>
          <t>Liquidity under stress: funding spending and rebalancing from AGG in a crisis (incl. 2008-10-10 discount)</t>
        </is>
      </c>
      <c r="E56" s="16" t="inlineStr">
        <is>
          <t>Raveena</t>
        </is>
      </c>
      <c r="F56" s="16" t="inlineStr">
        <is>
          <t>Done</t>
        </is>
      </c>
      <c r="G56" s="16" t="inlineStr">
        <is>
          <t>Week 1</t>
        </is>
      </c>
      <c r="H56" s="14" t="n"/>
      <c r="I56" s="16" t="inlineStr">
        <is>
          <t>Liquidity note with $ cost</t>
        </is>
      </c>
      <c r="J56" s="16" t="n"/>
      <c r="K56" s="16" t="inlineStr">
        <is>
          <t>Liquidity note with $ cost</t>
        </is>
      </c>
      <c r="L56" s="16" t="inlineStr">
        <is>
          <t>High</t>
        </is>
      </c>
      <c r="M56" s="16" t="inlineStr">
        <is>
          <t>T2.11</t>
        </is>
      </c>
      <c r="N56" s="16" t="inlineStr">
        <is>
          <t>12-factor review #10</t>
        </is>
      </c>
    </row>
    <row r="57" ht="36.75" customHeight="1" s="36">
      <c r="A57" s="8" t="inlineStr">
        <is>
          <t>T3.26</t>
        </is>
      </c>
      <c r="B57" s="8" t="inlineStr">
        <is>
          <t>T3</t>
        </is>
      </c>
      <c r="C57" s="16" t="inlineStr">
        <is>
          <t>Client mandate (investment policy)</t>
        </is>
      </c>
      <c r="D57" s="16" t="inlineStr">
        <is>
          <t>Losses beyond history: severity-scaled crisis replays (GFC ×1.25, ×1.5)</t>
        </is>
      </c>
      <c r="E57" s="16" t="inlineStr">
        <is>
          <t>Dewmini</t>
        </is>
      </c>
      <c r="F57" s="16" t="inlineStr">
        <is>
          <t>Done</t>
        </is>
      </c>
      <c r="G57" s="16" t="inlineStr">
        <is>
          <t>Week 1</t>
        </is>
      </c>
      <c r="H57" s="14" t="n"/>
      <c r="I57" s="16" t="inlineStr">
        <is>
          <t>Severe-scenario table; feeds D9</t>
        </is>
      </c>
      <c r="J57" s="16" t="n"/>
      <c r="K57" s="16" t="inlineStr">
        <is>
          <t>Severe-scenario table; feeds D9</t>
        </is>
      </c>
      <c r="L57" s="16" t="inlineStr">
        <is>
          <t>High</t>
        </is>
      </c>
      <c r="M57" s="16" t="inlineStr">
        <is>
          <t>T11.02</t>
        </is>
      </c>
      <c r="N57" s="16" t="inlineStr">
        <is>
          <t>12-factor review #11</t>
        </is>
      </c>
    </row>
    <row r="58" ht="36.75" customHeight="1" s="36">
      <c r="A58" s="8" t="inlineStr">
        <is>
          <t>T3.27</t>
        </is>
      </c>
      <c r="B58" s="8" t="inlineStr">
        <is>
          <t>T3</t>
        </is>
      </c>
      <c r="C58" s="16" t="inlineStr">
        <is>
          <t>Client mandate (investment policy)</t>
        </is>
      </c>
      <c r="D58" s="16" t="inlineStr">
        <is>
          <t>Drawdown monitoring and action ladder (amber / red / limit) for memo and app</t>
        </is>
      </c>
      <c r="E58" s="16" t="inlineStr">
        <is>
          <t>All members</t>
        </is>
      </c>
      <c r="F58" s="16" t="inlineStr">
        <is>
          <t>Done</t>
        </is>
      </c>
      <c r="G58" s="16" t="inlineStr">
        <is>
          <t>Week 1</t>
        </is>
      </c>
      <c r="H58" s="14" t="n"/>
      <c r="I58" s="16" t="inlineStr">
        <is>
          <t>D23 approved; ladder in config risk_limits.action_ladder</t>
        </is>
      </c>
      <c r="J58" s="16" t="n"/>
      <c r="K58" s="16" t="inlineStr">
        <is>
          <t>D23 approved; ladder in config risk_limits.action_ladder</t>
        </is>
      </c>
      <c r="L58" s="16" t="inlineStr">
        <is>
          <t>Critical</t>
        </is>
      </c>
      <c r="M58" s="16" t="inlineStr">
        <is>
          <t>T3.22</t>
        </is>
      </c>
      <c r="N58" s="16" t="inlineStr">
        <is>
          <t>12-factor review #12</t>
        </is>
      </c>
    </row>
    <row r="59" ht="36.75" customHeight="1" s="36">
      <c r="A59" s="8" t="inlineStr">
        <is>
          <t>T3.28</t>
        </is>
      </c>
      <c r="B59" s="8" t="inlineStr">
        <is>
          <t>T3</t>
        </is>
      </c>
      <c r="C59" s="16" t="inlineStr">
        <is>
          <t>Client mandate (investment policy)</t>
        </is>
      </c>
      <c r="D59" s="16" t="inlineStr">
        <is>
          <t>Re-confirm D7 (drawdown, VaR, ES limits) against tolerance and capacity results</t>
        </is>
      </c>
      <c r="E59" s="16" t="inlineStr">
        <is>
          <t>All members</t>
        </is>
      </c>
      <c r="F59" s="16" t="inlineStr">
        <is>
          <t>Done</t>
        </is>
      </c>
      <c r="G59" s="16" t="inlineStr">
        <is>
          <t>Week 1</t>
        </is>
      </c>
      <c r="H59" s="14" t="n"/>
      <c r="I59" s="16" t="inlineStr">
        <is>
          <t>D7 confirmed or revised</t>
        </is>
      </c>
      <c r="J59" s="16" t="n"/>
      <c r="K59" s="16" t="inlineStr">
        <is>
          <t>D7 confirmed or revised</t>
        </is>
      </c>
      <c r="L59" s="16" t="inlineStr">
        <is>
          <t>Critical</t>
        </is>
      </c>
      <c r="M59" s="16" t="inlineStr">
        <is>
          <t>T3.21–T3.27</t>
        </is>
      </c>
      <c r="N59" s="16" t="inlineStr">
        <is>
          <t>12-factor review</t>
        </is>
      </c>
    </row>
    <row r="60" ht="36.75" customHeight="1" s="36">
      <c r="A60" s="8" t="inlineStr">
        <is>
          <t>T3.29</t>
        </is>
      </c>
      <c r="B60" s="8" t="inlineStr">
        <is>
          <t>T3</t>
        </is>
      </c>
      <c r="C60" s="16" t="inlineStr">
        <is>
          <t>Client mandate (investment policy)</t>
        </is>
      </c>
      <c r="D60" s="16" t="inlineStr">
        <is>
          <t>Open question for committee: is 4% spending compulsory (fixed) or flexible? Memo shows both: fixed → disclosed real erosion ~0.6–1.2%/yr and capacity ~20%; flexible → move toward ~2.9% via D24</t>
        </is>
      </c>
      <c r="E60" s="16" t="inlineStr">
        <is>
          <t>All members</t>
        </is>
      </c>
      <c r="F60" s="16" t="inlineStr">
        <is>
          <t>Done</t>
        </is>
      </c>
      <c r="G60" s="16" t="inlineStr">
        <is>
          <t>Week 1</t>
        </is>
      </c>
      <c r="H60" s="14" t="n"/>
      <c r="I60" s="16" t="inlineStr">
        <is>
          <t>D30 APPROVED: flexible; glide to ~2.8–2.9% via D24 (no risk-limit increase)</t>
        </is>
      </c>
      <c r="J60" s="16" t="n"/>
      <c r="K60" s="16" t="inlineStr">
        <is>
          <t>D30 APPROVED: flexible; glide to ~2.8–2.9% via D24 (no risk-limit increase)</t>
        </is>
      </c>
      <c r="L60" s="16" t="inlineStr">
        <is>
          <t>Critical</t>
        </is>
      </c>
      <c r="M60" s="16" t="inlineStr">
        <is>
          <t>T4.11</t>
        </is>
      </c>
      <c r="N60" s="16" t="inlineStr">
        <is>
          <t>Team discussion 2026-10-29</t>
        </is>
      </c>
    </row>
    <row r="61" ht="36.75" customHeight="1" s="36">
      <c r="A61" s="8" t="inlineStr">
        <is>
          <t>T3.14</t>
        </is>
      </c>
      <c r="B61" s="8" t="inlineStr">
        <is>
          <t>T3</t>
        </is>
      </c>
      <c r="C61" s="16" t="inlineStr">
        <is>
          <t>Client mandate (investment policy)</t>
        </is>
      </c>
      <c r="D61" s="16" t="inlineStr">
        <is>
          <t>Tax assumption: tax-exempt base case, dividend withholding as sensitivity (check interest-related dividend exemption for AGG)</t>
        </is>
      </c>
      <c r="E61" s="16" t="inlineStr">
        <is>
          <t>Sujan</t>
        </is>
      </c>
      <c r="F61" s="16" t="inlineStr">
        <is>
          <t>Done</t>
        </is>
      </c>
      <c r="G61" s="16" t="inlineStr">
        <is>
          <t>Week 1</t>
        </is>
      </c>
      <c r="H61" s="14" t="n"/>
      <c r="I61" s="16" t="inlineStr">
        <is>
          <t>Note in IPS + limitations</t>
        </is>
      </c>
      <c r="J61" s="16" t="n"/>
      <c r="K61" s="16" t="inlineStr">
        <is>
          <t>Note in IPS + limitations</t>
        </is>
      </c>
      <c r="L61" s="16" t="inlineStr">
        <is>
          <t>Medium</t>
        </is>
      </c>
      <c r="M61" s="16" t="inlineStr">
        <is>
          <t>T3.11</t>
        </is>
      </c>
      <c r="N61" s="16" t="inlineStr">
        <is>
          <t>DEC D12</t>
        </is>
      </c>
    </row>
    <row r="62" ht="36.75" customHeight="1" s="36">
      <c r="A62" s="8" t="inlineStr">
        <is>
          <t>T4.01</t>
        </is>
      </c>
      <c r="B62" s="8" t="inlineStr">
        <is>
          <t>T4</t>
        </is>
      </c>
      <c r="C62" s="16" t="inlineStr">
        <is>
          <t>Portfolio construction and selection</t>
        </is>
      </c>
      <c r="D62" s="16" t="inlineStr">
        <is>
          <t>Estimate training returns, covariance matrix and correlations</t>
        </is>
      </c>
      <c r="E62" s="16" t="inlineStr">
        <is>
          <t>Dewmini</t>
        </is>
      </c>
      <c r="F62" s="16" t="inlineStr">
        <is>
          <t>Not Started</t>
        </is>
      </c>
      <c r="G62" s="16" t="inlineStr">
        <is>
          <t>Weeks 1–2</t>
        </is>
      </c>
      <c r="H62" s="14" t="n"/>
      <c r="I62" s="16" t="n"/>
      <c r="J62" s="16" t="n"/>
      <c r="K62" s="16" t="inlineStr">
        <is>
          <t>Training-window μ, Σ, ρ tables</t>
        </is>
      </c>
      <c r="L62" s="16" t="inlineStr">
        <is>
          <t>Critical</t>
        </is>
      </c>
      <c r="M62" s="16" t="inlineStr">
        <is>
          <t>T2.13</t>
        </is>
      </c>
      <c r="N62" s="16" t="inlineStr">
        <is>
          <t>PM · FJ PM01</t>
        </is>
      </c>
    </row>
    <row r="63" ht="36.75" customHeight="1" s="36">
      <c r="A63" s="8" t="inlineStr">
        <is>
          <t>T4.02</t>
        </is>
      </c>
      <c r="B63" s="8" t="inlineStr">
        <is>
          <t>T4</t>
        </is>
      </c>
      <c r="C63" s="16" t="inlineStr">
        <is>
          <t>Portfolio construction and selection</t>
        </is>
      </c>
      <c r="D63" s="16" t="inlineStr">
        <is>
          <t>Implement constrained minimum-variance allocation</t>
        </is>
      </c>
      <c r="E63" s="16" t="inlineStr">
        <is>
          <t>Dewmini</t>
        </is>
      </c>
      <c r="F63" s="16" t="inlineStr">
        <is>
          <t>Done</t>
        </is>
      </c>
      <c r="G63" s="16" t="inlineStr">
        <is>
          <t>Weeks 1–2</t>
        </is>
      </c>
      <c r="H63" s="14" t="n"/>
      <c r="I63" s="16" t="inlineStr">
        <is>
          <t>p1_*: min_variance</t>
        </is>
      </c>
      <c r="J63" s="16" t="n"/>
      <c r="K63" s="16" t="inlineStr">
        <is>
          <t>p1_*: min_variance</t>
        </is>
      </c>
      <c r="L63" s="16" t="inlineStr">
        <is>
          <t>Critical</t>
        </is>
      </c>
      <c r="M63" s="16" t="inlineStr">
        <is>
          <t>T4.08, T3.03</t>
        </is>
      </c>
      <c r="N63" s="16" t="inlineStr">
        <is>
          <t>PM · FJ PM02</t>
        </is>
      </c>
    </row>
    <row r="64" ht="36.75" customHeight="1" s="36">
      <c r="A64" s="8" t="inlineStr">
        <is>
          <t>T4.03</t>
        </is>
      </c>
      <c r="B64" s="8" t="inlineStr">
        <is>
          <t>T4</t>
        </is>
      </c>
      <c r="C64" s="16" t="inlineStr">
        <is>
          <t>Portfolio construction and selection</t>
        </is>
      </c>
      <c r="D64" s="16" t="inlineStr">
        <is>
          <t>Implement risk-parity allocation</t>
        </is>
      </c>
      <c r="E64" s="16" t="inlineStr">
        <is>
          <t>Dewmini</t>
        </is>
      </c>
      <c r="F64" s="16" t="inlineStr">
        <is>
          <t>Done</t>
        </is>
      </c>
      <c r="G64" s="16" t="inlineStr">
        <is>
          <t>Weeks 1–2</t>
        </is>
      </c>
      <c r="H64" s="14" t="n"/>
      <c r="I64" s="16" t="inlineStr">
        <is>
          <t>p1_*: risk_parity (ERC moved ≤ 1% to meet limits)</t>
        </is>
      </c>
      <c r="J64" s="16" t="n"/>
      <c r="K64" s="16" t="inlineStr">
        <is>
          <t>p1_*: risk_parity (ERC moved ≤ 1% to meet limits)</t>
        </is>
      </c>
      <c r="L64" s="16" t="inlineStr">
        <is>
          <t>Critical</t>
        </is>
      </c>
      <c r="M64" s="16" t="inlineStr">
        <is>
          <t>T4.08</t>
        </is>
      </c>
      <c r="N64" s="16" t="inlineStr">
        <is>
          <t>PM · FJ PM03</t>
        </is>
      </c>
    </row>
    <row r="65" ht="36.75" customHeight="1" s="36">
      <c r="A65" s="8" t="inlineStr">
        <is>
          <t>T4.04</t>
        </is>
      </c>
      <c r="B65" s="8" t="inlineStr">
        <is>
          <t>T4</t>
        </is>
      </c>
      <c r="C65" s="16" t="inlineStr">
        <is>
          <t>Portfolio construction and selection</t>
        </is>
      </c>
      <c r="D65" s="16" t="inlineStr">
        <is>
          <t>Implement capped maximum-Sharpe allocation</t>
        </is>
      </c>
      <c r="E65" s="16" t="inlineStr">
        <is>
          <t>Dewmini</t>
        </is>
      </c>
      <c r="F65" s="16" t="inlineStr">
        <is>
          <t>Done</t>
        </is>
      </c>
      <c r="G65" s="16" t="inlineStr">
        <is>
          <t>Weeks 1–2</t>
        </is>
      </c>
      <c r="H65" s="14" t="n"/>
      <c r="I65" s="16" t="inlineStr">
        <is>
          <t>p1_*: max_sharpe (homogenised)</t>
        </is>
      </c>
      <c r="J65" s="16" t="n"/>
      <c r="K65" s="16" t="inlineStr">
        <is>
          <t>p1_*: max_sharpe (homogenised)</t>
        </is>
      </c>
      <c r="L65" s="16" t="inlineStr">
        <is>
          <t>Critical</t>
        </is>
      </c>
      <c r="M65" s="16" t="inlineStr">
        <is>
          <t>T4.08, T3.03</t>
        </is>
      </c>
      <c r="N65" s="16" t="inlineStr">
        <is>
          <t>PM · FJ PM04</t>
        </is>
      </c>
    </row>
    <row r="66" ht="36.75" customHeight="1" s="36">
      <c r="A66" s="8" t="inlineStr">
        <is>
          <t>T4.05</t>
        </is>
      </c>
      <c r="B66" s="8" t="inlineStr">
        <is>
          <t>T4</t>
        </is>
      </c>
      <c r="C66" s="16" t="inlineStr">
        <is>
          <t>Portfolio construction and selection</t>
        </is>
      </c>
      <c r="D66" s="16" t="inlineStr">
        <is>
          <t>Document Markowitz/CAPM concepts and benchmark assumptions</t>
        </is>
      </c>
      <c r="E66" s="16" t="inlineStr">
        <is>
          <t>Dewmini</t>
        </is>
      </c>
      <c r="F66" s="16" t="inlineStr">
        <is>
          <t>Not Started</t>
        </is>
      </c>
      <c r="G66" s="16" t="inlineStr">
        <is>
          <t>Weeks 1–2</t>
        </is>
      </c>
      <c r="H66" s="14" t="n"/>
      <c r="I66" s="16" t="n"/>
      <c r="J66" s="16" t="n"/>
      <c r="K66" s="16" t="inlineStr">
        <is>
          <t>Methods section draft</t>
        </is>
      </c>
      <c r="L66" s="16" t="inlineStr">
        <is>
          <t>Critical</t>
        </is>
      </c>
      <c r="M66" s="16" t="inlineStr">
        <is>
          <t>T4.11</t>
        </is>
      </c>
      <c r="N66" s="16" t="inlineStr">
        <is>
          <t>PM · BR p.7</t>
        </is>
      </c>
    </row>
    <row r="67" ht="36.75" customHeight="1" s="36">
      <c r="A67" s="8" t="inlineStr">
        <is>
          <t>T4.06</t>
        </is>
      </c>
      <c r="B67" s="8" t="inlineStr">
        <is>
          <t>T4</t>
        </is>
      </c>
      <c r="C67" s="16" t="inlineStr">
        <is>
          <t>Portfolio construction and selection</t>
        </is>
      </c>
      <c r="D67" s="16" t="inlineStr">
        <is>
          <t>Compare diversification, concentration and feasible weights</t>
        </is>
      </c>
      <c r="E67" s="16" t="inlineStr">
        <is>
          <t>Dewmini</t>
        </is>
      </c>
      <c r="F67" s="16" t="inlineStr">
        <is>
          <t>Done</t>
        </is>
      </c>
      <c r="G67" s="16" t="inlineStr">
        <is>
          <t>Weeks 1–2</t>
        </is>
      </c>
      <c r="H67" s="14" t="n"/>
      <c r="I67" s="16" t="inlineStr">
        <is>
          <t>p1_*_diagnostics (risk contributions, equity weight) + research doc P1_candidates_and_kpis.md</t>
        </is>
      </c>
      <c r="J67" s="16" t="n"/>
      <c r="K67" s="16" t="inlineStr">
        <is>
          <t>p1_*_diagnostics (risk contributions, equity weight) + research doc P1_candidates_and_kpis.md</t>
        </is>
      </c>
      <c r="L67" s="16" t="inlineStr">
        <is>
          <t>Critical</t>
        </is>
      </c>
      <c r="M67" s="16" t="inlineStr">
        <is>
          <t>T4.02–T4.10</t>
        </is>
      </c>
      <c r="N67" s="16" t="inlineStr">
        <is>
          <t>PM · FJ PM07</t>
        </is>
      </c>
    </row>
    <row r="68" ht="36.75" customHeight="1" s="36">
      <c r="A68" s="8" t="inlineStr">
        <is>
          <t>T4.07</t>
        </is>
      </c>
      <c r="B68" s="8" t="inlineStr">
        <is>
          <t>T4</t>
        </is>
      </c>
      <c r="C68" s="16" t="inlineStr">
        <is>
          <t>Portfolio construction and selection</t>
        </is>
      </c>
      <c r="D68" s="16" t="inlineStr">
        <is>
          <t>Provide candidate and proposed final weights with justification</t>
        </is>
      </c>
      <c r="E68" s="16" t="inlineStr">
        <is>
          <t>Dewmini</t>
        </is>
      </c>
      <c r="F68" s="16" t="inlineStr">
        <is>
          <t>Not Started</t>
        </is>
      </c>
      <c r="G68" s="16" t="inlineStr">
        <is>
          <t>Weeks 1–2</t>
        </is>
      </c>
      <c r="H68" s="14" t="n"/>
      <c r="I68" s="16" t="n"/>
      <c r="J68" s="16" t="n"/>
      <c r="K68" s="16" t="inlineStr">
        <is>
          <t>Recommendation input for T20</t>
        </is>
      </c>
      <c r="L68" s="16" t="inlineStr">
        <is>
          <t>Critical</t>
        </is>
      </c>
      <c r="M68" s="16" t="inlineStr">
        <is>
          <t>T4.06, T5.05</t>
        </is>
      </c>
      <c r="N68" s="16" t="inlineStr">
        <is>
          <t>PM</t>
        </is>
      </c>
    </row>
    <row r="69" ht="36.75" customHeight="1" s="36">
      <c r="A69" s="8" t="inlineStr">
        <is>
          <t>T4.08</t>
        </is>
      </c>
      <c r="B69" s="8" t="inlineStr">
        <is>
          <t>T4</t>
        </is>
      </c>
      <c r="C69" s="16" t="inlineStr">
        <is>
          <t>Portfolio construction and selection</t>
        </is>
      </c>
      <c r="D69" s="16" t="inlineStr">
        <is>
          <t>Robust inputs: shrinkage covariance (Ledoit–Wolf), cautious expected returns</t>
        </is>
      </c>
      <c r="E69" s="16" t="inlineStr">
        <is>
          <t>Dewmini</t>
        </is>
      </c>
      <c r="F69" s="16" t="inlineStr">
        <is>
          <t>Done</t>
        </is>
      </c>
      <c r="G69" s="16" t="inlineStr">
        <is>
          <t>Weeks 1–2</t>
        </is>
      </c>
      <c r="H69" s="14" t="n"/>
      <c r="I69" s="16" t="inlineStr">
        <is>
          <t>cma.shrunk_covariance (Ledoit–Wolf on correlations); cma_*_cov_shrunk.csv; δ train 1.6% / full 0.8% / 1y 7% / 3m 18%; stability test (--shrink): turnover 1.61% → 1.57% a month; 2 tests</t>
        </is>
      </c>
      <c r="J69" s="16" t="n"/>
      <c r="K69" s="16" t="inlineStr">
        <is>
          <t>cma.shrunk_covariance (Ledoit–Wolf on correlations); cma_*_cov_shrunk.csv; δ train 1.6% / full 0.8% / 1y 7% / 3m 18%; stability test (--shrink): turnover 1.61% → 1.57% a month; 2 tests</t>
        </is>
      </c>
      <c r="L69" s="16" t="inlineStr">
        <is>
          <t>High</t>
        </is>
      </c>
      <c r="M69" s="16" t="inlineStr">
        <is>
          <t>T4.01</t>
        </is>
      </c>
      <c r="N69" s="16" t="inlineStr">
        <is>
          <t>FJ PM01/robust frontier · REV</t>
        </is>
      </c>
    </row>
    <row r="70" ht="36.75" customHeight="1" s="36">
      <c r="A70" s="8" t="inlineStr">
        <is>
          <t>T4.09</t>
        </is>
      </c>
      <c r="B70" s="8" t="inlineStr">
        <is>
          <t>T4</t>
        </is>
      </c>
      <c r="C70" s="16" t="inlineStr">
        <is>
          <t>Portfolio construction and selection</t>
        </is>
      </c>
      <c r="D70" s="16" t="inlineStr">
        <is>
          <t>Implement minimum-CVaR allocation (Rockafellar–Uryasev)</t>
        </is>
      </c>
      <c r="E70" s="16" t="inlineStr">
        <is>
          <t>Dewmini</t>
        </is>
      </c>
      <c r="F70" s="16" t="inlineStr">
        <is>
          <t>Done</t>
        </is>
      </c>
      <c r="G70" s="16" t="inlineStr">
        <is>
          <t>Weeks 1–2</t>
        </is>
      </c>
      <c r="H70" s="14" t="n"/>
      <c r="I70" s="16" t="inlineStr">
        <is>
          <t>p1_*: min_cvar (CVaR LP)</t>
        </is>
      </c>
      <c r="J70" s="16" t="n"/>
      <c r="K70" s="16" t="inlineStr">
        <is>
          <t>p1_*: min_cvar (CVaR LP)</t>
        </is>
      </c>
      <c r="L70" s="16" t="inlineStr">
        <is>
          <t>High</t>
        </is>
      </c>
      <c r="M70" s="16" t="inlineStr">
        <is>
          <t>T4.08</t>
        </is>
      </c>
      <c r="N70" s="16" t="inlineStr">
        <is>
          <t>DEC D20</t>
        </is>
      </c>
    </row>
    <row r="71" ht="36.75" customHeight="1" s="36">
      <c r="A71" s="8" t="inlineStr">
        <is>
          <t>T4.10</t>
        </is>
      </c>
      <c r="B71" s="8" t="inlineStr">
        <is>
          <t>T4</t>
        </is>
      </c>
      <c r="C71" s="16" t="inlineStr">
        <is>
          <t>Portfolio construction and selection</t>
        </is>
      </c>
      <c r="D71" s="16" t="inlineStr">
        <is>
          <t>Implement target-return Markowitz at the D12 hurdle (minimum 6.66% / target 7.19%) with fallback to lowest-risk feasible portfolio</t>
        </is>
      </c>
      <c r="E71" s="16" t="inlineStr">
        <is>
          <t>Dewmini</t>
        </is>
      </c>
      <c r="F71" s="16" t="inlineStr">
        <is>
          <t>Done</t>
        </is>
      </c>
      <c r="G71" s="16" t="inlineStr">
        <is>
          <t>Weeks 1–2</t>
        </is>
      </c>
      <c r="H71" s="14" t="n"/>
      <c r="I71" s="16" t="inlineStr">
        <is>
          <t>p1_*: target_return (fallback per D12)</t>
        </is>
      </c>
      <c r="J71" s="16" t="n"/>
      <c r="K71" s="16" t="inlineStr">
        <is>
          <t>p1_*: target_return (fallback per D12)</t>
        </is>
      </c>
      <c r="L71" s="16" t="inlineStr">
        <is>
          <t>High</t>
        </is>
      </c>
      <c r="M71" s="16" t="inlineStr">
        <is>
          <t>T4.08, T4.18</t>
        </is>
      </c>
      <c r="N71" s="16" t="inlineStr">
        <is>
          <t>FJ PM05</t>
        </is>
      </c>
    </row>
    <row r="72" ht="36.75" customHeight="1" s="36">
      <c r="A72" s="8" t="inlineStr">
        <is>
          <t>T4.11</t>
        </is>
      </c>
      <c r="B72" s="8" t="inlineStr">
        <is>
          <t>T4</t>
        </is>
      </c>
      <c r="C72" s="16" t="inlineStr">
        <is>
          <t>Portfolio construction and selection</t>
        </is>
      </c>
      <c r="D72" s="16" t="inlineStr">
        <is>
          <t>Efficient frontier with candidates and benchmarks plotted; trade-off table</t>
        </is>
      </c>
      <c r="E72" s="16" t="inlineStr">
        <is>
          <t>Dewmini</t>
        </is>
      </c>
      <c r="F72" s="16" t="inlineStr">
        <is>
          <t>Done</t>
        </is>
      </c>
      <c r="G72" s="16" t="inlineStr">
        <is>
          <t>Weeks 1–2</t>
        </is>
      </c>
      <c r="H72" s="14" t="n"/>
      <c r="I72" s="16" t="inlineStr">
        <is>
          <t>outputs/tables/frontier_full.csv (9 points: return, DD, ES, VaR, P(DD&gt;25%), spending $), outputs/figures/frontier_full.png</t>
        </is>
      </c>
      <c r="J72" s="16" t="n"/>
      <c r="K72" s="16" t="inlineStr">
        <is>
          <t>outputs/tables/frontier_full.csv (9 points: return, DD, ES, VaR, P(DD&gt;25%), spending $), outputs/figures/frontier_full.png</t>
        </is>
      </c>
      <c r="L72" s="16" t="inlineStr">
        <is>
          <t>Critical</t>
        </is>
      </c>
      <c r="M72" s="16" t="inlineStr">
        <is>
          <t>T4.02–T4.10</t>
        </is>
      </c>
      <c r="N72" s="16" t="inlineStr">
        <is>
          <t>BR p.4 #5 · R16</t>
        </is>
      </c>
    </row>
    <row r="73" ht="36.75" customHeight="1" s="36">
      <c r="A73" s="8" t="inlineStr">
        <is>
          <t>T4.12</t>
        </is>
      </c>
      <c r="B73" s="8" t="inlineStr">
        <is>
          <t>T4</t>
        </is>
      </c>
      <c r="C73" s="16" t="inlineStr">
        <is>
          <t>Portfolio construction and selection</t>
        </is>
      </c>
      <c r="D73" s="16" t="inlineStr">
        <is>
          <t>Feasibility filters: D6 v2 layers (equity 20–45%, GLD ≤ 20%, ≤ 2× benchmark, sector tilts) + D7 limits</t>
        </is>
      </c>
      <c r="E73" s="16" t="inlineStr">
        <is>
          <t>Dewmini</t>
        </is>
      </c>
      <c r="F73" s="16" t="inlineStr">
        <is>
          <t>Done</t>
        </is>
      </c>
      <c r="G73" s="16" t="inlineStr">
        <is>
          <t>Weeks 1–2</t>
        </is>
      </c>
      <c r="H73" s="14" t="n"/>
      <c r="I73" s="16" t="inlineStr">
        <is>
          <t>D6 v2 + D7 in optimiser; post-check on compounded quarterly NAV</t>
        </is>
      </c>
      <c r="J73" s="16" t="n"/>
      <c r="K73" s="16" t="inlineStr">
        <is>
          <t>D6 v2 + D7 in optimiser; post-check on compounded quarterly NAV</t>
        </is>
      </c>
      <c r="L73" s="16" t="inlineStr">
        <is>
          <t>Critical</t>
        </is>
      </c>
      <c r="M73" s="16" t="inlineStr">
        <is>
          <t>T4.02–T4.10</t>
        </is>
      </c>
      <c r="N73" s="16" t="inlineStr">
        <is>
          <t>FJ PM06</t>
        </is>
      </c>
    </row>
    <row r="74" ht="36.75" customHeight="1" s="36">
      <c r="A74" s="8" t="inlineStr">
        <is>
          <t>T4.13</t>
        </is>
      </c>
      <c r="B74" s="8" t="inlineStr">
        <is>
          <t>T4</t>
        </is>
      </c>
      <c r="C74" s="16" t="inlineStr">
        <is>
          <t>Portfolio construction and selection</t>
        </is>
      </c>
      <c r="D74" s="16" t="inlineStr">
        <is>
          <t>Net-of-cost and turnover test under chosen rebalancing</t>
        </is>
      </c>
      <c r="E74" s="16" t="inlineStr">
        <is>
          <t>Dewmini</t>
        </is>
      </c>
      <c r="F74" s="16" t="inlineStr">
        <is>
          <t>Not Started</t>
        </is>
      </c>
      <c r="G74" s="16" t="inlineStr">
        <is>
          <t>Weeks 1–2</t>
        </is>
      </c>
      <c r="H74" s="14" t="n"/>
      <c r="I74" s="16" t="n"/>
      <c r="J74" s="16" t="n"/>
      <c r="K74" s="16" t="inlineStr">
        <is>
          <t>Turnover, cost drag per candidate</t>
        </is>
      </c>
      <c r="L74" s="16" t="inlineStr">
        <is>
          <t>Medium</t>
        </is>
      </c>
      <c r="M74" s="16" t="inlineStr">
        <is>
          <t>T3.06, T3.07</t>
        </is>
      </c>
      <c r="N74" s="16" t="inlineStr">
        <is>
          <t>FJ PM-N03</t>
        </is>
      </c>
    </row>
    <row r="75" ht="36.75" customHeight="1" s="36">
      <c r="A75" s="8" t="inlineStr">
        <is>
          <t>T4.14</t>
        </is>
      </c>
      <c r="B75" s="8" t="inlineStr">
        <is>
          <t>T4</t>
        </is>
      </c>
      <c r="C75" s="16" t="inlineStr">
        <is>
          <t>Portfolio construction and selection</t>
        </is>
      </c>
      <c r="D75" s="16" t="inlineStr">
        <is>
          <t>Diversification metrics: diversification ratio, risk contribution vs weight</t>
        </is>
      </c>
      <c r="E75" s="16" t="inlineStr">
        <is>
          <t>Dewmini</t>
        </is>
      </c>
      <c r="F75" s="16" t="inlineStr">
        <is>
          <t>Not Started</t>
        </is>
      </c>
      <c r="G75" s="16" t="inlineStr">
        <is>
          <t>Weeks 1–2</t>
        </is>
      </c>
      <c r="H75" s="14" t="n"/>
      <c r="I75" s="16" t="n"/>
      <c r="J75" s="16" t="n"/>
      <c r="K75" s="16" t="inlineStr">
        <is>
          <t>Diversification table</t>
        </is>
      </c>
      <c r="L75" s="16" t="inlineStr">
        <is>
          <t>High</t>
        </is>
      </c>
      <c r="M75" s="16" t="inlineStr">
        <is>
          <t>T4.12</t>
        </is>
      </c>
      <c r="N75" s="16" t="inlineStr">
        <is>
          <t>BR p.4 'diversification benefits'</t>
        </is>
      </c>
    </row>
    <row r="76" ht="36.75" customHeight="1" s="36">
      <c r="A76" s="8" t="inlineStr">
        <is>
          <t>T4.15</t>
        </is>
      </c>
      <c r="B76" s="8" t="inlineStr">
        <is>
          <t>T4</t>
        </is>
      </c>
      <c r="C76" s="16" t="inlineStr">
        <is>
          <t>Portfolio construction and selection</t>
        </is>
      </c>
      <c r="D76" s="16" t="inlineStr">
        <is>
          <t>Weight sensitivity to input changes (sub-period / bootstrap re-estimation)</t>
        </is>
      </c>
      <c r="E76" s="16" t="inlineStr">
        <is>
          <t>Dewmini</t>
        </is>
      </c>
      <c r="F76" s="16" t="inlineStr">
        <is>
          <t>Not Started</t>
        </is>
      </c>
      <c r="G76" s="16" t="inlineStr">
        <is>
          <t>Weeks 1–2</t>
        </is>
      </c>
      <c r="H76" s="14" t="n"/>
      <c r="I76" s="16" t="n"/>
      <c r="J76" s="16" t="n"/>
      <c r="K76" s="16" t="inlineStr">
        <is>
          <t>Weight stability table</t>
        </is>
      </c>
      <c r="L76" s="16" t="inlineStr">
        <is>
          <t>Medium</t>
        </is>
      </c>
      <c r="M76" s="16" t="inlineStr">
        <is>
          <t>T4.12</t>
        </is>
      </c>
      <c r="N76" s="16" t="inlineStr">
        <is>
          <t>FJ robust frontier</t>
        </is>
      </c>
    </row>
    <row r="77" ht="36.75" customHeight="1" s="36">
      <c r="A77" s="8" t="inlineStr">
        <is>
          <t>T4.16</t>
        </is>
      </c>
      <c r="B77" s="8" t="inlineStr">
        <is>
          <t>T4</t>
        </is>
      </c>
      <c r="C77" s="16" t="inlineStr">
        <is>
          <t>Portfolio construction and selection</t>
        </is>
      </c>
      <c r="D77" s="16" t="inlineStr">
        <is>
          <t>Freeze P1 handoff: candidate weights + metadata file</t>
        </is>
      </c>
      <c r="E77" s="16" t="inlineStr">
        <is>
          <t>Dewmini</t>
        </is>
      </c>
      <c r="F77" s="16" t="inlineStr">
        <is>
          <t>Done</t>
        </is>
      </c>
      <c r="G77" s="16" t="inlineStr">
        <is>
          <t>Weeks 1–2</t>
        </is>
      </c>
      <c r="H77" s="14" t="n"/>
      <c r="I77" s="16" t="inlineStr">
        <is>
          <t>outputs/tables/p1_*_weights.csv (regenerated by run_all)</t>
        </is>
      </c>
      <c r="J77" s="16" t="n"/>
      <c r="K77" s="16" t="inlineStr">
        <is>
          <t>outputs/tables/p1_*_weights.csv (regenerated by run_all)</t>
        </is>
      </c>
      <c r="L77" s="16" t="inlineStr">
        <is>
          <t>Critical</t>
        </is>
      </c>
      <c r="M77" s="16" t="inlineStr">
        <is>
          <t>T4.12</t>
        </is>
      </c>
      <c r="N77" s="16" t="inlineStr">
        <is>
          <t>FJ PM08</t>
        </is>
      </c>
    </row>
    <row r="78" ht="36.75" customHeight="1" s="36">
      <c r="A78" s="8" t="inlineStr">
        <is>
          <t>T4.17</t>
        </is>
      </c>
      <c r="B78" s="8" t="inlineStr">
        <is>
          <t>T4</t>
        </is>
      </c>
      <c r="C78" s="16" t="inlineStr">
        <is>
          <t>Portfolio construction and selection</t>
        </is>
      </c>
      <c r="D78" s="16" t="inlineStr">
        <is>
          <t>Unit tests for all optimisers (constraints respected, known solutions)</t>
        </is>
      </c>
      <c r="E78" s="16" t="inlineStr">
        <is>
          <t>Dewmini</t>
        </is>
      </c>
      <c r="F78" s="16" t="inlineStr">
        <is>
          <t>Done</t>
        </is>
      </c>
      <c r="G78" s="16" t="inlineStr">
        <is>
          <t>Weeks 1–2</t>
        </is>
      </c>
      <c r="H78" s="14" t="n"/>
      <c r="I78" s="16" t="inlineStr">
        <is>
          <t>tests/unit/test_optimise.py (7) + integration</t>
        </is>
      </c>
      <c r="J78" s="16" t="n"/>
      <c r="K78" s="16" t="inlineStr">
        <is>
          <t>tests/unit/test_optimise.py (7) + integration</t>
        </is>
      </c>
      <c r="L78" s="16" t="inlineStr">
        <is>
          <t>Critical</t>
        </is>
      </c>
      <c r="M78" s="16" t="inlineStr">
        <is>
          <t>T4.02–T4.10</t>
        </is>
      </c>
      <c r="N78" s="16" t="inlineStr">
        <is>
          <t>BR p.6 software</t>
        </is>
      </c>
    </row>
    <row r="79" ht="36.75" customHeight="1" s="36">
      <c r="A79" s="8" t="inlineStr">
        <is>
          <t>T4.18</t>
        </is>
      </c>
      <c r="B79" s="8" t="inlineStr">
        <is>
          <t>T4</t>
        </is>
      </c>
      <c r="C79" s="16" t="inlineStr">
        <is>
          <t>Portfolio construction and selection</t>
        </is>
      </c>
      <c r="D79" s="16" t="inlineStr">
        <is>
          <t>Capital market assumptions estimated on the training window only, for out-of-sample candidates</t>
        </is>
      </c>
      <c r="E79" s="16" t="inlineStr">
        <is>
          <t>Dewmini</t>
        </is>
      </c>
      <c r="F79" s="16" t="inlineStr">
        <is>
          <t>Done</t>
        </is>
      </c>
      <c r="G79" s="16" t="inlineStr">
        <is>
          <t>Weeks 1–2</t>
        </is>
      </c>
      <c r="H79" s="14" t="n"/>
      <c r="I79" s="16" t="inlineStr">
        <is>
          <t>cma.estimate_as_of; outputs/tables/cma_train*.csv, cma_full*.csv, cma_sets_summary.csv; 4 tests incl. leakage</t>
        </is>
      </c>
      <c r="J79" s="16" t="n"/>
      <c r="K79" s="16" t="inlineStr">
        <is>
          <t>cma.estimate_as_of; outputs/tables/cma_train*.csv, cma_full*.csv, cma_sets_summary.csv; 4 tests incl. leakage</t>
        </is>
      </c>
      <c r="L79" s="16" t="inlineStr">
        <is>
          <t>Critical</t>
        </is>
      </c>
      <c r="M79" s="16" t="inlineStr">
        <is>
          <t>T2.13</t>
        </is>
      </c>
      <c r="N79" s="16" t="inlineStr">
        <is>
          <t>Review: current CMA uses full sample</t>
        </is>
      </c>
    </row>
    <row r="80" ht="36.75" customHeight="1" s="36">
      <c r="A80" s="8" t="inlineStr">
        <is>
          <t>T4.19</t>
        </is>
      </c>
      <c r="B80" s="8" t="inlineStr">
        <is>
          <t>T4</t>
        </is>
      </c>
      <c r="C80" s="16" t="inlineStr">
        <is>
          <t>Portfolio construction and selection</t>
        </is>
      </c>
      <c r="D80" s="16" t="inlineStr">
        <is>
          <t>Produce two P1 sets: P1-train (frozen, for OOS backtests) and P1-final (full-sample re-fit, same frozen method)</t>
        </is>
      </c>
      <c r="E80" s="16" t="inlineStr">
        <is>
          <t>Dewmini</t>
        </is>
      </c>
      <c r="F80" s="16" t="inlineStr">
        <is>
          <t>Done</t>
        </is>
      </c>
      <c r="G80" s="16" t="inlineStr">
        <is>
          <t>Weeks 1–2</t>
        </is>
      </c>
      <c r="H80" s="14" t="n"/>
      <c r="I80" s="16" t="inlineStr">
        <is>
          <t>p1_train_* and p1_final_*</t>
        </is>
      </c>
      <c r="J80" s="16" t="n"/>
      <c r="K80" s="16" t="inlineStr">
        <is>
          <t>p1_train_* and p1_final_*</t>
        </is>
      </c>
      <c r="L80" s="16" t="inlineStr">
        <is>
          <t>Critical</t>
        </is>
      </c>
      <c r="M80" s="16" t="inlineStr">
        <is>
          <t>T4.16, T4.18</t>
        </is>
      </c>
      <c r="N80" s="16" t="inlineStr">
        <is>
          <t>DEC D5 protocol</t>
        </is>
      </c>
    </row>
    <row r="81" ht="36.75" customHeight="1" s="36">
      <c r="A81" s="8" t="inlineStr">
        <is>
          <t>T4.20</t>
        </is>
      </c>
      <c r="B81" s="8" t="inlineStr">
        <is>
          <t>T4</t>
        </is>
      </c>
      <c r="C81" s="16" t="inlineStr">
        <is>
          <t>Portfolio construction and selection</t>
        </is>
      </c>
      <c r="D81" s="16" t="inlineStr">
        <is>
          <t>Optimiser design meeting D6 v2 + D7 (ES as CVaR constraint; drawdown via CDaR or post-check)</t>
        </is>
      </c>
      <c r="E81" s="16" t="inlineStr">
        <is>
          <t>Dewmini</t>
        </is>
      </c>
      <c r="F81" s="16" t="inlineStr">
        <is>
          <t>Done</t>
        </is>
      </c>
      <c r="G81" s="16" t="inlineStr">
        <is>
          <t>Weeks 1–2</t>
        </is>
      </c>
      <c r="H81" s="14" t="n"/>
      <c r="I81" s="16" t="inlineStr">
        <is>
          <t>portfolio/optimise.py: CVaR LP + CDaR(β→1) + bisection post-check</t>
        </is>
      </c>
      <c r="J81" s="16" t="n"/>
      <c r="K81" s="16" t="inlineStr">
        <is>
          <t>portfolio/optimise.py: CVaR LP + CDaR(β→1) + bisection post-check</t>
        </is>
      </c>
      <c r="L81" s="16" t="inlineStr">
        <is>
          <t>Critical</t>
        </is>
      </c>
      <c r="M81" s="16" t="inlineStr">
        <is>
          <t>T4.12</t>
        </is>
      </c>
      <c r="N81" s="16" t="inlineStr">
        <is>
          <t>Review 2026-10-28</t>
        </is>
      </c>
    </row>
    <row r="82" ht="36.75" customHeight="1" s="36">
      <c r="A82" s="8" t="inlineStr">
        <is>
          <t>T4.21</t>
        </is>
      </c>
      <c r="B82" s="8" t="inlineStr">
        <is>
          <t>T4</t>
        </is>
      </c>
      <c r="C82" s="16" t="inlineStr">
        <is>
          <t>Portfolio construction and selection</t>
        </is>
      </c>
      <c r="D82" s="16" t="inlineStr">
        <is>
          <t>Add every candidate to the required-vs-expected table with sustainable spending</t>
        </is>
      </c>
      <c r="E82" s="16" t="inlineStr">
        <is>
          <t>Dewmini</t>
        </is>
      </c>
      <c r="F82" s="16" t="inlineStr">
        <is>
          <t>Not Started</t>
        </is>
      </c>
      <c r="G82" s="16" t="inlineStr">
        <is>
          <t>Weeks 1–2</t>
        </is>
      </c>
      <c r="H82" s="14" t="n"/>
      <c r="I82" s="16" t="n"/>
      <c r="J82" s="16" t="n"/>
      <c r="K82" s="16" t="inlineStr">
        <is>
          <t>Extended return_objective_summary.md</t>
        </is>
      </c>
      <c r="L82" s="16" t="inlineStr">
        <is>
          <t>High</t>
        </is>
      </c>
      <c r="M82" s="16" t="inlineStr">
        <is>
          <t>T4.16</t>
        </is>
      </c>
      <c r="N82" s="16" t="inlineStr">
        <is>
          <t>DEC D12</t>
        </is>
      </c>
    </row>
    <row r="83" ht="36.75" customHeight="1" s="36">
      <c r="A83" s="8" t="inlineStr">
        <is>
          <t>T4.22</t>
        </is>
      </c>
      <c r="B83" s="8" t="inlineStr">
        <is>
          <t>T4</t>
        </is>
      </c>
      <c r="C83" s="16" t="inlineStr">
        <is>
          <t>Portfolio construction and selection</t>
        </is>
      </c>
      <c r="D83" s="16" t="inlineStr">
        <is>
          <t>Decide bond expected-return method for near-zero rates (D25) and apply to both CMA sets</t>
        </is>
      </c>
      <c r="E83" s="16" t="inlineStr">
        <is>
          <t>All members</t>
        </is>
      </c>
      <c r="F83" s="16" t="inlineStr">
        <is>
          <t>Done</t>
        </is>
      </c>
      <c r="G83" s="16" t="inlineStr">
        <is>
          <t>Weeks 1–2</t>
        </is>
      </c>
      <c r="H83" s="14" t="n"/>
      <c r="I83" s="16" t="inlineStr">
        <is>
          <t>D25 approved; cma.expected_returns applied to both CMA sets, D12 tables, research; 1 test; research doc §8b</t>
        </is>
      </c>
      <c r="J83" s="16" t="n"/>
      <c r="K83" s="16" t="inlineStr">
        <is>
          <t>D25 approved; cma.expected_returns applied to both CMA sets, D12 tables, research; 1 test; research doc §8b</t>
        </is>
      </c>
      <c r="L83" s="16" t="inlineStr">
        <is>
          <t>Critical</t>
        </is>
      </c>
      <c r="M83" s="16" t="inlineStr">
        <is>
          <t>T4.18</t>
        </is>
      </c>
      <c r="N83" s="16" t="inlineStr">
        <is>
          <t>T4.18 finding</t>
        </is>
      </c>
    </row>
    <row r="84" ht="36.75" customHeight="1" s="36">
      <c r="A84" s="8" t="inlineStr">
        <is>
          <t>T4.23</t>
        </is>
      </c>
      <c r="B84" s="8" t="inlineStr">
        <is>
          <t>T4</t>
        </is>
      </c>
      <c r="C84" s="16" t="inlineStr">
        <is>
          <t>Portfolio construction and selection</t>
        </is>
      </c>
      <c r="D84" s="16" t="inlineStr">
        <is>
          <t>Required return in training-period terms (2014 breakeven, same S/G/C) for P1-train return targets</t>
        </is>
      </c>
      <c r="E84" s="16" t="inlineStr">
        <is>
          <t>Dewmini</t>
        </is>
      </c>
      <c r="F84" s="16" t="inlineStr">
        <is>
          <t>Done</t>
        </is>
      </c>
      <c r="G84" s="16" t="inlineStr">
        <is>
          <t>Weeks 1–2</t>
        </is>
      </c>
      <c r="H84" s="14" t="n"/>
      <c r="I84" s="16" t="inlineStr">
        <is>
          <t>return_objective.required_return_as_of; cma_sets_summary.csv: train 6.49% / 5.96% (breakeven 1.68%), full 7.19% / 6.66%; 2 tests</t>
        </is>
      </c>
      <c r="J84" s="16" t="n"/>
      <c r="K84" s="16" t="inlineStr">
        <is>
          <t>return_objective.required_return_as_of; cma_sets_summary.csv: train 6.49% / 5.96% (breakeven 1.68%), full 7.19% / 6.66%; 2 tests</t>
        </is>
      </c>
      <c r="L84" s="16" t="inlineStr">
        <is>
          <t>High</t>
        </is>
      </c>
      <c r="M84" s="16" t="inlineStr">
        <is>
          <t>T4.18</t>
        </is>
      </c>
      <c r="N84" s="16" t="inlineStr">
        <is>
          <t>D5 + D12 consistency</t>
        </is>
      </c>
    </row>
    <row r="85" ht="36.75" customHeight="1" s="36">
      <c r="A85" s="8" t="inlineStr">
        <is>
          <t>T4.24</t>
        </is>
      </c>
      <c r="B85" s="8" t="inlineStr">
        <is>
          <t>T4</t>
        </is>
      </c>
      <c r="C85" s="16" t="inlineStr">
        <is>
          <t>Portfolio construction and selection</t>
        </is>
      </c>
      <c r="D85" s="16" t="inlineStr">
        <is>
          <t>Decide portfolio choice rule when the hurdle is infeasible (D26)</t>
        </is>
      </c>
      <c r="E85" s="16" t="inlineStr">
        <is>
          <t>All members</t>
        </is>
      </c>
      <c r="F85" s="16" t="inlineStr">
        <is>
          <t>Done</t>
        </is>
      </c>
      <c r="G85" s="16" t="inlineStr">
        <is>
          <t>Weeks 1–2</t>
        </is>
      </c>
      <c r="H85" s="14" t="n"/>
      <c r="I85" s="16" t="inlineStr">
        <is>
          <t>D26 approved (option b); frontier.select_highest_compliant; d26_selected in P1-train / P1-final</t>
        </is>
      </c>
      <c r="J85" s="16" t="n"/>
      <c r="K85" s="16" t="inlineStr">
        <is>
          <t>D26 approved (option b); frontier.select_highest_compliant; d26_selected in P1-train / P1-final</t>
        </is>
      </c>
      <c r="L85" s="16" t="inlineStr">
        <is>
          <t>Critical</t>
        </is>
      </c>
      <c r="M85" s="16" t="inlineStr">
        <is>
          <t>T4.11</t>
        </is>
      </c>
      <c r="N85" s="16" t="inlineStr">
        <is>
          <t>T4 finding 2026-10-29</t>
        </is>
      </c>
    </row>
    <row r="86" ht="36.75" customHeight="1" s="36">
      <c r="A86" s="8" t="inlineStr">
        <is>
          <t>T4.25</t>
        </is>
      </c>
      <c r="B86" s="8" t="inlineStr">
        <is>
          <t>T4</t>
        </is>
      </c>
      <c r="C86" s="16" t="inlineStr">
        <is>
          <t>Portfolio construction and selection</t>
        </is>
      </c>
      <c r="D86" s="16" t="inlineStr">
        <is>
          <t>Final-selection robustness: D26 with a 5-year-test margin, component-ES cap, or blend with Risk Parity (out-of-sample evidence)</t>
        </is>
      </c>
      <c r="E86" s="16" t="inlineStr">
        <is>
          <t>Dewmini</t>
        </is>
      </c>
      <c r="F86" s="16" t="inlineStr">
        <is>
          <t>Done</t>
        </is>
      </c>
      <c r="G86" s="16" t="inlineStr">
        <is>
          <t>Weeks 1–2</t>
        </is>
      </c>
      <c r="H86" s="14" t="n"/>
      <c r="I86" s="16" t="inlineStr">
        <is>
          <t>O1–O5 evaluated (research_t425_eval_*.csv, research doc T4_25): O4 gold floor not justified; O2 recommended (conditional)</t>
        </is>
      </c>
      <c r="J86" s="16" t="n"/>
      <c r="K86" s="16" t="inlineStr">
        <is>
          <t>O1–O5 evaluated (research_t425_eval_*.csv, research doc T4_25): O4 gold floor not justified; O2 recommended (conditional)</t>
        </is>
      </c>
      <c r="L86" s="16" t="inlineStr">
        <is>
          <t>High</t>
        </is>
      </c>
      <c r="M86" s="16" t="inlineStr">
        <is>
          <t>T9.06, T10.07</t>
        </is>
      </c>
      <c r="N86" s="16" t="inlineStr">
        <is>
          <t>KPI findings 2026-10-29 · component-ES cap option done (D27)</t>
        </is>
      </c>
    </row>
    <row r="87" ht="36.75" customHeight="1" s="36">
      <c r="A87" s="8" t="inlineStr">
        <is>
          <t>T4.26</t>
        </is>
      </c>
      <c r="B87" s="8" t="inlineStr">
        <is>
          <t>T4</t>
        </is>
      </c>
      <c r="C87" s="16" t="inlineStr">
        <is>
          <t>Portfolio construction and selection</t>
        </is>
      </c>
      <c r="D87" s="16" t="inlineStr">
        <is>
          <t>Speed up portfolio stage (~7 min): cache solves, fewer bisection steps</t>
        </is>
      </c>
      <c r="E87" s="16" t="inlineStr">
        <is>
          <t>Malindu</t>
        </is>
      </c>
      <c r="F87" s="16" t="inlineStr">
        <is>
          <t>Not Started</t>
        </is>
      </c>
      <c r="G87" s="16" t="inlineStr">
        <is>
          <t>Weeks 1–2</t>
        </is>
      </c>
      <c r="H87" s="14" t="n"/>
      <c r="I87" s="16" t="n"/>
      <c r="J87" s="16" t="n"/>
      <c r="K87" s="16" t="inlineStr">
        <is>
          <t>run_all under ~2 min</t>
        </is>
      </c>
      <c r="L87" s="16" t="inlineStr">
        <is>
          <t>Medium</t>
        </is>
      </c>
      <c r="M87" s="16" t="inlineStr">
        <is>
          <t>—</t>
        </is>
      </c>
      <c r="N87" s="16" t="inlineStr">
        <is>
          <t>Review 2026-10-29</t>
        </is>
      </c>
    </row>
    <row r="88" ht="36.75" customHeight="1" s="36">
      <c r="A88" s="8" t="inlineStr">
        <is>
          <t>T5.01</t>
        </is>
      </c>
      <c r="B88" s="8" t="inlineStr">
        <is>
          <t>T5</t>
        </is>
      </c>
      <c r="C88" s="16" t="inlineStr">
        <is>
          <t>KPIs and benchmarks</t>
        </is>
      </c>
      <c r="D88" s="16" t="inlineStr">
        <is>
          <t>Implement Sharpe and Sortino metrics consistently</t>
        </is>
      </c>
      <c r="E88" s="16" t="inlineStr">
        <is>
          <t>Raveena</t>
        </is>
      </c>
      <c r="F88" s="16" t="inlineStr">
        <is>
          <t>Done</t>
        </is>
      </c>
      <c r="G88" s="16" t="inlineStr">
        <is>
          <t>Week 2</t>
        </is>
      </c>
      <c r="H88" s="14" t="n"/>
      <c r="I88" s="16" t="inlineStr">
        <is>
          <t>kpis.kpis: Sharpe, Sortino</t>
        </is>
      </c>
      <c r="J88" s="16" t="n"/>
      <c r="K88" s="16" t="inlineStr">
        <is>
          <t>kpis.kpis: Sharpe, Sortino</t>
        </is>
      </c>
      <c r="L88" s="16" t="inlineStr">
        <is>
          <t>Critical</t>
        </is>
      </c>
      <c r="M88" s="16" t="inlineStr">
        <is>
          <t>T1.03</t>
        </is>
      </c>
      <c r="N88" s="16" t="inlineStr">
        <is>
          <t>PM · BR p.7</t>
        </is>
      </c>
    </row>
    <row r="89" ht="36.75" customHeight="1" s="36">
      <c r="A89" s="8" t="inlineStr">
        <is>
          <t>T5.02</t>
        </is>
      </c>
      <c r="B89" s="8" t="inlineStr">
        <is>
          <t>T5</t>
        </is>
      </c>
      <c r="C89" s="16" t="inlineStr">
        <is>
          <t>KPIs and benchmarks</t>
        </is>
      </c>
      <c r="D89" s="16" t="inlineStr">
        <is>
          <t>Compute Treynor and Jensen alpha with market benchmark</t>
        </is>
      </c>
      <c r="E89" s="16" t="inlineStr">
        <is>
          <t>Raveena</t>
        </is>
      </c>
      <c r="F89" s="16" t="inlineStr">
        <is>
          <t>Done</t>
        </is>
      </c>
      <c r="G89" s="16" t="inlineStr">
        <is>
          <t>Week 2</t>
        </is>
      </c>
      <c r="H89" s="14" t="n"/>
      <c r="I89" s="16" t="inlineStr">
        <is>
          <t>kpis.kpis: beta, Jensen α vs SPY (D3)</t>
        </is>
      </c>
      <c r="J89" s="16" t="n"/>
      <c r="K89" s="16" t="inlineStr">
        <is>
          <t>kpis.kpis: beta, Jensen α vs SPY (D3)</t>
        </is>
      </c>
      <c r="L89" s="16" t="inlineStr">
        <is>
          <t>Critical</t>
        </is>
      </c>
      <c r="M89" s="16" t="inlineStr">
        <is>
          <t>T3.08 (D3 done)</t>
        </is>
      </c>
      <c r="N89" s="16" t="inlineStr">
        <is>
          <t>PM · BR p.7</t>
        </is>
      </c>
    </row>
    <row r="90" ht="36.75" customHeight="1" s="36">
      <c r="A90" s="8" t="inlineStr">
        <is>
          <t>T5.03</t>
        </is>
      </c>
      <c r="B90" s="8" t="inlineStr">
        <is>
          <t>T5</t>
        </is>
      </c>
      <c r="C90" s="16" t="inlineStr">
        <is>
          <t>KPIs and benchmarks</t>
        </is>
      </c>
      <c r="D90" s="16" t="inlineStr">
        <is>
          <t>Compute Information Ratio against agreed benchmark</t>
        </is>
      </c>
      <c r="E90" s="16" t="inlineStr">
        <is>
          <t>Raveena</t>
        </is>
      </c>
      <c r="F90" s="16" t="inlineStr">
        <is>
          <t>Done</t>
        </is>
      </c>
      <c r="G90" s="16" t="inlineStr">
        <is>
          <t>Week 2</t>
        </is>
      </c>
      <c r="H90" s="14" t="n"/>
      <c r="I90" s="16" t="inlineStr">
        <is>
          <t>kpis.kpis: IR vs Policy 40/50/10</t>
        </is>
      </c>
      <c r="J90" s="16" t="n"/>
      <c r="K90" s="16" t="inlineStr">
        <is>
          <t>kpis.kpis: IR vs Policy 40/50/10</t>
        </is>
      </c>
      <c r="L90" s="16" t="inlineStr">
        <is>
          <t>Critical</t>
        </is>
      </c>
      <c r="M90" s="16" t="inlineStr">
        <is>
          <t>T3.08</t>
        </is>
      </c>
      <c r="N90" s="16" t="inlineStr">
        <is>
          <t>PM · BR p.7</t>
        </is>
      </c>
    </row>
    <row r="91" ht="36.75" customHeight="1" s="36">
      <c r="A91" s="8" t="inlineStr">
        <is>
          <t>T5.04</t>
        </is>
      </c>
      <c r="B91" s="8" t="inlineStr">
        <is>
          <t>T5</t>
        </is>
      </c>
      <c r="C91" s="16" t="inlineStr">
        <is>
          <t>KPIs and benchmarks</t>
        </is>
      </c>
      <c r="D91" s="16" t="inlineStr">
        <is>
          <t>Compute maximum drawdown and Calmar ratio</t>
        </is>
      </c>
      <c r="E91" s="16" t="inlineStr">
        <is>
          <t>Raveena</t>
        </is>
      </c>
      <c r="F91" s="16" t="inlineStr">
        <is>
          <t>Done</t>
        </is>
      </c>
      <c r="G91" s="16" t="inlineStr">
        <is>
          <t>Week 2</t>
        </is>
      </c>
      <c r="H91" s="14" t="n"/>
      <c r="I91" s="16" t="inlineStr">
        <is>
          <t>kpis.kpis: max DD, Calmar</t>
        </is>
      </c>
      <c r="J91" s="16" t="n"/>
      <c r="K91" s="16" t="inlineStr">
        <is>
          <t>kpis.kpis: max DD, Calmar</t>
        </is>
      </c>
      <c r="L91" s="16" t="inlineStr">
        <is>
          <t>Critical</t>
        </is>
      </c>
      <c r="M91" s="16" t="inlineStr">
        <is>
          <t>T1.03</t>
        </is>
      </c>
      <c r="N91" s="16" t="inlineStr">
        <is>
          <t>PM · BR p.7</t>
        </is>
      </c>
    </row>
    <row r="92" ht="36.75" customHeight="1" s="36">
      <c r="A92" s="8" t="inlineStr">
        <is>
          <t>T5.05</t>
        </is>
      </c>
      <c r="B92" s="8" t="inlineStr">
        <is>
          <t>T5</t>
        </is>
      </c>
      <c r="C92" s="16" t="inlineStr">
        <is>
          <t>KPIs and benchmarks</t>
        </is>
      </c>
      <c r="D92" s="16" t="inlineStr">
        <is>
          <t>Prepare comparative KPI and benchmark results</t>
        </is>
      </c>
      <c r="E92" s="16" t="inlineStr">
        <is>
          <t>Raveena</t>
        </is>
      </c>
      <c r="F92" s="16" t="inlineStr">
        <is>
          <t>Done</t>
        </is>
      </c>
      <c r="G92" s="16" t="inlineStr">
        <is>
          <t>Week 2</t>
        </is>
      </c>
      <c r="H92" s="14" t="n"/>
      <c r="I92" s="16" t="inlineStr">
        <is>
          <t>outputs/tables/kpis.csv (candidates + D3 benchmarks)</t>
        </is>
      </c>
      <c r="J92" s="16" t="n"/>
      <c r="K92" s="16" t="inlineStr">
        <is>
          <t>outputs/tables/kpis.csv (candidates + D3 benchmarks)</t>
        </is>
      </c>
      <c r="L92" s="16" t="inlineStr">
        <is>
          <t>Critical</t>
        </is>
      </c>
      <c r="M92" s="16" t="inlineStr">
        <is>
          <t>T4.16, T5.01–T5.04</t>
        </is>
      </c>
      <c r="N92" s="16" t="inlineStr">
        <is>
          <t>PM · FJ PM-N02</t>
        </is>
      </c>
    </row>
    <row r="93" ht="36.75" customHeight="1" s="36">
      <c r="A93" s="8" t="inlineStr">
        <is>
          <t>T5.06</t>
        </is>
      </c>
      <c r="B93" s="8" t="inlineStr">
        <is>
          <t>T5</t>
        </is>
      </c>
      <c r="C93" s="16" t="inlineStr">
        <is>
          <t>KPIs and benchmarks</t>
        </is>
      </c>
      <c r="D93" s="16" t="inlineStr">
        <is>
          <t>CAPM expected return and beta per ETF and candidate</t>
        </is>
      </c>
      <c r="E93" s="16" t="inlineStr">
        <is>
          <t>Raveena</t>
        </is>
      </c>
      <c r="F93" s="16" t="inlineStr">
        <is>
          <t>Done</t>
        </is>
      </c>
      <c r="G93" s="16" t="inlineStr">
        <is>
          <t>Week 2</t>
        </is>
      </c>
      <c r="H93" s="14" t="n"/>
      <c r="I93" s="16" t="inlineStr">
        <is>
          <t>cma_full.csv / cma_train.csv betas and CAPM E[R]</t>
        </is>
      </c>
      <c r="J93" s="16" t="n"/>
      <c r="K93" s="16" t="inlineStr">
        <is>
          <t>cma_full.csv / cma_train.csv betas and CAPM E[R]</t>
        </is>
      </c>
      <c r="L93" s="16" t="inlineStr">
        <is>
          <t>Critical</t>
        </is>
      </c>
      <c r="M93" s="16" t="inlineStr">
        <is>
          <t>T3.08</t>
        </is>
      </c>
      <c r="N93" s="16" t="inlineStr">
        <is>
          <t>FJ PM-N01 · BR p.7</t>
        </is>
      </c>
    </row>
    <row r="94" ht="36.75" customHeight="1" s="36">
      <c r="A94" s="8" t="inlineStr">
        <is>
          <t>T5.07</t>
        </is>
      </c>
      <c r="B94" s="8" t="inlineStr">
        <is>
          <t>T5</t>
        </is>
      </c>
      <c r="C94" s="16" t="inlineStr">
        <is>
          <t>KPIs and benchmarks</t>
        </is>
      </c>
      <c r="D94" s="16" t="inlineStr">
        <is>
          <t>Report KPIs separately for training and out-of-sample periods</t>
        </is>
      </c>
      <c r="E94" s="16" t="inlineStr">
        <is>
          <t>Raveena</t>
        </is>
      </c>
      <c r="F94" s="16" t="inlineStr">
        <is>
          <t>Done</t>
        </is>
      </c>
      <c r="G94" s="16" t="inlineStr">
        <is>
          <t>Week 2</t>
        </is>
      </c>
      <c r="H94" s="14" t="n"/>
      <c r="I94" s="16" t="inlineStr">
        <is>
          <t>kpis.csv periods: train / validation / test (P1-train) + full (P1-final)</t>
        </is>
      </c>
      <c r="J94" s="16" t="n"/>
      <c r="K94" s="16" t="inlineStr">
        <is>
          <t>kpis.csv periods: train / validation / test (P1-train) + full (P1-final)</t>
        </is>
      </c>
      <c r="L94" s="16" t="inlineStr">
        <is>
          <t>High</t>
        </is>
      </c>
      <c r="M94" s="16" t="inlineStr">
        <is>
          <t>T2.13, T5.05</t>
        </is>
      </c>
      <c r="N94" s="16" t="inlineStr">
        <is>
          <t>REV leakage</t>
        </is>
      </c>
    </row>
    <row r="95" ht="36.75" customHeight="1" s="36">
      <c r="A95" s="8" t="inlineStr">
        <is>
          <t>T5.08</t>
        </is>
      </c>
      <c r="B95" s="8" t="inlineStr">
        <is>
          <t>T5</t>
        </is>
      </c>
      <c r="C95" s="16" t="inlineStr">
        <is>
          <t>KPIs and benchmarks</t>
        </is>
      </c>
      <c r="D95" s="16" t="inlineStr">
        <is>
          <t>Verify KPIs against hand-calculated examples</t>
        </is>
      </c>
      <c r="E95" s="16" t="inlineStr">
        <is>
          <t>Raveena</t>
        </is>
      </c>
      <c r="F95" s="16" t="inlineStr">
        <is>
          <t>Done</t>
        </is>
      </c>
      <c r="G95" s="16" t="inlineStr">
        <is>
          <t>Week 2</t>
        </is>
      </c>
      <c r="H95" s="14" t="n"/>
      <c r="I95" s="16" t="inlineStr">
        <is>
          <t>tests/unit/test_kpis.py (4 known-answer tests)</t>
        </is>
      </c>
      <c r="J95" s="16" t="n"/>
      <c r="K95" s="16" t="inlineStr">
        <is>
          <t>tests/unit/test_kpis.py (4 known-answer tests)</t>
        </is>
      </c>
      <c r="L95" s="16" t="inlineStr">
        <is>
          <t>High</t>
        </is>
      </c>
      <c r="M95" s="16" t="inlineStr">
        <is>
          <t>T5.01–T5.04</t>
        </is>
      </c>
      <c r="N95" s="16" t="inlineStr">
        <is>
          <t>REV</t>
        </is>
      </c>
    </row>
    <row r="96" ht="36.75" customHeight="1" s="36">
      <c r="A96" s="8" t="inlineStr">
        <is>
          <t>T5.09</t>
        </is>
      </c>
      <c r="B96" s="8" t="inlineStr">
        <is>
          <t>T5</t>
        </is>
      </c>
      <c r="C96" s="16" t="inlineStr">
        <is>
          <t>KPIs and benchmarks</t>
        </is>
      </c>
      <c r="D96" s="16" t="inlineStr">
        <is>
          <t>KPIs for portfolio and all D3 benchmarks with identical (quarterly) rebalancing and total returns</t>
        </is>
      </c>
      <c r="E96" s="16" t="inlineStr">
        <is>
          <t>Raveena</t>
        </is>
      </c>
      <c r="F96" s="16" t="inlineStr">
        <is>
          <t>Done</t>
        </is>
      </c>
      <c r="G96" s="16" t="inlineStr">
        <is>
          <t>Week 2</t>
        </is>
      </c>
      <c r="H96" s="14" t="n"/>
      <c r="I96" s="16" t="inlineStr">
        <is>
          <t>same quarterly rebalancing for all (conventions.rebalanced_returns)</t>
        </is>
      </c>
      <c r="J96" s="16" t="n"/>
      <c r="K96" s="16" t="inlineStr">
        <is>
          <t>same quarterly rebalancing for all (conventions.rebalanced_returns)</t>
        </is>
      </c>
      <c r="L96" s="16" t="inlineStr">
        <is>
          <t>High</t>
        </is>
      </c>
      <c r="M96" s="16" t="inlineStr">
        <is>
          <t>T2.17</t>
        </is>
      </c>
      <c r="N96" s="16" t="inlineStr">
        <is>
          <t>DEC D3</t>
        </is>
      </c>
    </row>
    <row r="97" ht="36.75" customHeight="1" s="36">
      <c r="A97" s="8" t="inlineStr">
        <is>
          <t>T6.01</t>
        </is>
      </c>
      <c r="B97" s="8" t="inlineStr">
        <is>
          <t>T6</t>
        </is>
      </c>
      <c r="C97" s="16" t="inlineStr">
        <is>
          <t>VaR with 3 methods</t>
        </is>
      </c>
      <c r="D97" s="16" t="inlineStr">
        <is>
          <t>Fix portfolio losses convention and risk horizon</t>
        </is>
      </c>
      <c r="E97" s="16" t="inlineStr">
        <is>
          <t>Sujan</t>
        </is>
      </c>
      <c r="F97" s="16" t="inlineStr">
        <is>
          <t>Done</t>
        </is>
      </c>
      <c r="G97" s="16" t="inlineStr">
        <is>
          <t>Week 2</t>
        </is>
      </c>
      <c r="H97" s="14" t="n"/>
      <c r="I97" s="16" t="inlineStr">
        <is>
          <t>Loss = −return, 1-day, constant target weights (risk/var_es.py)</t>
        </is>
      </c>
      <c r="J97" s="16" t="n"/>
      <c r="K97" s="16" t="inlineStr">
        <is>
          <t>Loss = −return, 1-day, constant target weights (risk/var_es.py)</t>
        </is>
      </c>
      <c r="L97" s="16" t="inlineStr">
        <is>
          <t>Critical</t>
        </is>
      </c>
      <c r="M97" s="16" t="inlineStr">
        <is>
          <t>T1.03, T4.16</t>
        </is>
      </c>
      <c r="N97" s="16" t="inlineStr">
        <is>
          <t>PM · FJ R01 · conventions done</t>
        </is>
      </c>
    </row>
    <row r="98" ht="36.75" customHeight="1" s="36">
      <c r="A98" s="8" t="inlineStr">
        <is>
          <t>T6.02</t>
        </is>
      </c>
      <c r="B98" s="8" t="inlineStr">
        <is>
          <t>T6</t>
        </is>
      </c>
      <c r="C98" s="16" t="inlineStr">
        <is>
          <t>VaR with 3 methods</t>
        </is>
      </c>
      <c r="D98" s="16" t="inlineStr">
        <is>
          <t>Implement Historical VaR at 95% and 99%</t>
        </is>
      </c>
      <c r="E98" s="16" t="inlineStr">
        <is>
          <t>Sujan</t>
        </is>
      </c>
      <c r="F98" s="16" t="inlineStr">
        <is>
          <t>Done</t>
        </is>
      </c>
      <c r="G98" s="16" t="inlineStr">
        <is>
          <t>Week 2</t>
        </is>
      </c>
      <c r="H98" s="14" t="n"/>
      <c r="I98" s="16" t="inlineStr">
        <is>
          <t>var_es.historical</t>
        </is>
      </c>
      <c r="J98" s="16" t="n"/>
      <c r="K98" s="16" t="inlineStr">
        <is>
          <t>var_es.historical</t>
        </is>
      </c>
      <c r="L98" s="16" t="inlineStr">
        <is>
          <t>Critical</t>
        </is>
      </c>
      <c r="M98" s="16" t="inlineStr">
        <is>
          <t>T6.01</t>
        </is>
      </c>
      <c r="N98" s="16" t="inlineStr">
        <is>
          <t>PM · BR p.7</t>
        </is>
      </c>
    </row>
    <row r="99" ht="36.75" customHeight="1" s="36">
      <c r="A99" s="8" t="inlineStr">
        <is>
          <t>T6.03</t>
        </is>
      </c>
      <c r="B99" s="8" t="inlineStr">
        <is>
          <t>T6</t>
        </is>
      </c>
      <c r="C99" s="16" t="inlineStr">
        <is>
          <t>VaR with 3 methods</t>
        </is>
      </c>
      <c r="D99" s="16" t="inlineStr">
        <is>
          <t>Implement Parametric VaR at 95% and 99%</t>
        </is>
      </c>
      <c r="E99" s="16" t="inlineStr">
        <is>
          <t>Sujan</t>
        </is>
      </c>
      <c r="F99" s="16" t="inlineStr">
        <is>
          <t>Done</t>
        </is>
      </c>
      <c r="G99" s="16" t="inlineStr">
        <is>
          <t>Week 2</t>
        </is>
      </c>
      <c r="H99" s="14" t="n"/>
      <c r="I99" s="16" t="inlineStr">
        <is>
          <t>var_es.normal + student_t (MLE)</t>
        </is>
      </c>
      <c r="J99" s="16" t="n"/>
      <c r="K99" s="16" t="inlineStr">
        <is>
          <t>var_es.normal + student_t (MLE)</t>
        </is>
      </c>
      <c r="L99" s="16" t="inlineStr">
        <is>
          <t>Critical</t>
        </is>
      </c>
      <c r="M99" s="16" t="inlineStr">
        <is>
          <t>T6.01</t>
        </is>
      </c>
      <c r="N99" s="16" t="inlineStr">
        <is>
          <t>PM · BR p.7</t>
        </is>
      </c>
    </row>
    <row r="100" ht="36.75" customHeight="1" s="36">
      <c r="A100" s="8" t="inlineStr">
        <is>
          <t>T6.04</t>
        </is>
      </c>
      <c r="B100" s="8" t="inlineStr">
        <is>
          <t>T6</t>
        </is>
      </c>
      <c r="C100" s="16" t="inlineStr">
        <is>
          <t>VaR with 3 methods</t>
        </is>
      </c>
      <c r="D100" s="16" t="inlineStr">
        <is>
          <t>Implement Monte Carlo VaR at 95% and 99%</t>
        </is>
      </c>
      <c r="E100" s="16" t="inlineStr">
        <is>
          <t>Sujan</t>
        </is>
      </c>
      <c r="F100" s="16" t="inlineStr">
        <is>
          <t>Done</t>
        </is>
      </c>
      <c r="G100" s="16" t="inlineStr">
        <is>
          <t>Week 2</t>
        </is>
      </c>
      <c r="H100" s="14" t="n"/>
      <c r="I100" s="16" t="inlineStr">
        <is>
          <t>var_es.monte_carlo: t-copula + empirical marginals (D19), 100k sims, seed 42</t>
        </is>
      </c>
      <c r="J100" s="16" t="n"/>
      <c r="K100" s="16" t="inlineStr">
        <is>
          <t>var_es.monte_carlo: t-copula + empirical marginals (D19), 100k sims, seed 42</t>
        </is>
      </c>
      <c r="L100" s="16" t="inlineStr">
        <is>
          <t>Critical</t>
        </is>
      </c>
      <c r="M100" s="16" t="inlineStr">
        <is>
          <t>T6.01</t>
        </is>
      </c>
      <c r="N100" s="16" t="inlineStr">
        <is>
          <t>PM · BR p.7 · DEC D19</t>
        </is>
      </c>
    </row>
    <row r="101" ht="36.75" customHeight="1" s="36">
      <c r="A101" s="8" t="inlineStr">
        <is>
          <t>T6.05</t>
        </is>
      </c>
      <c r="B101" s="8" t="inlineStr">
        <is>
          <t>T6</t>
        </is>
      </c>
      <c r="C101" s="16" t="inlineStr">
        <is>
          <t>VaR with 3 methods</t>
        </is>
      </c>
      <c r="D101" s="16" t="inlineStr">
        <is>
          <t>Compare all methods on identical portfolios and windows</t>
        </is>
      </c>
      <c r="E101" s="16" t="inlineStr">
        <is>
          <t>Sujan</t>
        </is>
      </c>
      <c r="F101" s="16" t="inlineStr">
        <is>
          <t>Done</t>
        </is>
      </c>
      <c r="G101" s="16" t="inlineStr">
        <is>
          <t>Week 2</t>
        </is>
      </c>
      <c r="H101" s="14" t="n"/>
      <c r="I101" s="16" t="inlineStr">
        <is>
          <t>outputs/tables/p2_var_es.csv: 6 portfolios × 4 methods × 3 levels</t>
        </is>
      </c>
      <c r="J101" s="16" t="n"/>
      <c r="K101" s="16" t="inlineStr">
        <is>
          <t>outputs/tables/p2_var_es.csv: 6 portfolios × 4 methods × 3 levels</t>
        </is>
      </c>
      <c r="L101" s="16" t="inlineStr">
        <is>
          <t>Critical</t>
        </is>
      </c>
      <c r="M101" s="16" t="inlineStr">
        <is>
          <t>T6.02–T6.04</t>
        </is>
      </c>
      <c r="N101" s="16" t="inlineStr">
        <is>
          <t>PM · FJ R-N01</t>
        </is>
      </c>
    </row>
    <row r="102" ht="36.75" customHeight="1" s="36">
      <c r="A102" s="8" t="inlineStr">
        <is>
          <t>T6.06</t>
        </is>
      </c>
      <c r="B102" s="8" t="inlineStr">
        <is>
          <t>T6</t>
        </is>
      </c>
      <c r="C102" s="16" t="inlineStr">
        <is>
          <t>VaR with 3 methods</t>
        </is>
      </c>
      <c r="D102" s="16" t="inlineStr">
        <is>
          <t>Explain disagreements under calm and stressed conditions</t>
        </is>
      </c>
      <c r="E102" s="16" t="inlineStr">
        <is>
          <t>Sujan</t>
        </is>
      </c>
      <c r="F102" s="16" t="inlineStr">
        <is>
          <t>Done</t>
        </is>
      </c>
      <c r="G102" s="16" t="inlineStr">
        <is>
          <t>Week 2</t>
        </is>
      </c>
      <c r="H102" s="14" t="n"/>
      <c r="I102" s="16" t="inlineStr">
        <is>
          <t>docs/research/P2_var_es_methods.md §2</t>
        </is>
      </c>
      <c r="J102" s="16" t="n"/>
      <c r="K102" s="16" t="inlineStr">
        <is>
          <t>docs/research/P2_var_es_methods.md §2</t>
        </is>
      </c>
      <c r="L102" s="16" t="inlineStr">
        <is>
          <t>Critical</t>
        </is>
      </c>
      <c r="M102" s="16" t="inlineStr">
        <is>
          <t>T6.05, T8.11</t>
        </is>
      </c>
      <c r="N102" s="16" t="inlineStr">
        <is>
          <t>PM · BR p.7</t>
        </is>
      </c>
    </row>
    <row r="103" ht="36.75" customHeight="1" s="36">
      <c r="A103" s="8" t="inlineStr">
        <is>
          <t>T6.07</t>
        </is>
      </c>
      <c r="B103" s="8" t="inlineStr">
        <is>
          <t>T6</t>
        </is>
      </c>
      <c r="C103" s="16" t="inlineStr">
        <is>
          <t>VaR with 3 methods</t>
        </is>
      </c>
      <c r="D103" s="16" t="inlineStr">
        <is>
          <t>Add 90% level to every VaR method (app requirement)</t>
        </is>
      </c>
      <c r="E103" s="16" t="inlineStr">
        <is>
          <t>Sujan</t>
        </is>
      </c>
      <c r="F103" s="16" t="inlineStr">
        <is>
          <t>Done</t>
        </is>
      </c>
      <c r="G103" s="16" t="inlineStr">
        <is>
          <t>Week 2</t>
        </is>
      </c>
      <c r="H103" s="14" t="n"/>
      <c r="I103" s="16" t="inlineStr">
        <is>
          <t>90/95/99 in every method</t>
        </is>
      </c>
      <c r="J103" s="16" t="n"/>
      <c r="K103" s="16" t="inlineStr">
        <is>
          <t>90/95/99 in every method</t>
        </is>
      </c>
      <c r="L103" s="16" t="inlineStr">
        <is>
          <t>Critical</t>
        </is>
      </c>
      <c r="M103" s="16" t="inlineStr">
        <is>
          <t>T6.02–T6.04</t>
        </is>
      </c>
      <c r="N103" s="16" t="inlineStr">
        <is>
          <t>BR p.5 · R20</t>
        </is>
      </c>
    </row>
    <row r="104" ht="36.75" customHeight="1" s="36">
      <c r="A104" s="8" t="inlineStr">
        <is>
          <t>T6.08</t>
        </is>
      </c>
      <c r="B104" s="8" t="inlineStr">
        <is>
          <t>T6</t>
        </is>
      </c>
      <c r="C104" s="16" t="inlineStr">
        <is>
          <t>VaR with 3 methods</t>
        </is>
      </c>
      <c r="D104" s="16" t="inlineStr">
        <is>
          <t>Test model assumptions: Jarque–Bera, Ljung–Box on squared returns, QQ plots</t>
        </is>
      </c>
      <c r="E104" s="16" t="inlineStr">
        <is>
          <t>Sujan</t>
        </is>
      </c>
      <c r="F104" s="16" t="inlineStr">
        <is>
          <t>Done</t>
        </is>
      </c>
      <c r="G104" s="16" t="inlineStr">
        <is>
          <t>Week 2</t>
        </is>
      </c>
      <c r="H104" s="14" t="n"/>
      <c r="I104" s="16" t="inlineStr">
        <is>
          <t>var_es.assumption_diagnostics → p2_diagnostics.csv (JB, kurtosis, Ljung–Box², t ν)</t>
        </is>
      </c>
      <c r="J104" s="16" t="n"/>
      <c r="K104" s="16" t="inlineStr">
        <is>
          <t>var_es.assumption_diagnostics → p2_diagnostics.csv (JB, kurtosis, Ljung–Box², t ν)</t>
        </is>
      </c>
      <c r="L104" s="16" t="inlineStr">
        <is>
          <t>Critical</t>
        </is>
      </c>
      <c r="M104" s="16" t="inlineStr">
        <is>
          <t>T6.01</t>
        </is>
      </c>
      <c r="N104" s="16" t="inlineStr">
        <is>
          <t>BR p.7 · DEC D21</t>
        </is>
      </c>
    </row>
    <row r="105" ht="36.75" customHeight="1" s="36">
      <c r="A105" s="8" t="inlineStr">
        <is>
          <t>T6.09</t>
        </is>
      </c>
      <c r="B105" s="8" t="inlineStr">
        <is>
          <t>T6</t>
        </is>
      </c>
      <c r="C105" s="16" t="inlineStr">
        <is>
          <t>VaR with 3 methods</t>
        </is>
      </c>
      <c r="D105" s="16" t="inlineStr">
        <is>
          <t>Uncertainty bands: bootstrap CI (historical), MC standard error</t>
        </is>
      </c>
      <c r="E105" s="16" t="inlineStr">
        <is>
          <t>Sujan</t>
        </is>
      </c>
      <c r="F105" s="16" t="inlineStr">
        <is>
          <t>Done</t>
        </is>
      </c>
      <c r="G105" s="16" t="inlineStr">
        <is>
          <t>Week 2</t>
        </is>
      </c>
      <c r="H105" s="14" t="n"/>
      <c r="I105" s="16" t="inlineStr">
        <is>
          <t>bootstrap 95% intervals; MC batch SE</t>
        </is>
      </c>
      <c r="J105" s="16" t="n"/>
      <c r="K105" s="16" t="inlineStr">
        <is>
          <t>bootstrap 95% intervals; MC batch SE</t>
        </is>
      </c>
      <c r="L105" s="16" t="inlineStr">
        <is>
          <t>Critical</t>
        </is>
      </c>
      <c r="M105" s="16" t="inlineStr">
        <is>
          <t>T6.02–T6.04</t>
        </is>
      </c>
      <c r="N105" s="16" t="inlineStr">
        <is>
          <t>BR p.5 · DEC D18</t>
        </is>
      </c>
    </row>
    <row r="106" ht="36.75" customHeight="1" s="36">
      <c r="A106" s="8" t="inlineStr">
        <is>
          <t>T6.10</t>
        </is>
      </c>
      <c r="B106" s="8" t="inlineStr">
        <is>
          <t>T6</t>
        </is>
      </c>
      <c r="C106" s="16" t="inlineStr">
        <is>
          <t>VaR with 3 methods</t>
        </is>
      </c>
      <c r="D106" s="16" t="inlineStr">
        <is>
          <t>Multi-day horizon by simulation (no silent √t)</t>
        </is>
      </c>
      <c r="E106" s="16" t="inlineStr">
        <is>
          <t>Sujan</t>
        </is>
      </c>
      <c r="F106" s="16" t="inlineStr">
        <is>
          <t>Not Started</t>
        </is>
      </c>
      <c r="G106" s="16" t="inlineStr">
        <is>
          <t>Week 2</t>
        </is>
      </c>
      <c r="H106" s="14" t="n"/>
      <c r="I106" s="16" t="n"/>
      <c r="J106" s="16" t="n"/>
      <c r="K106" s="16" t="inlineStr">
        <is>
          <t>10-day / monthly VaR</t>
        </is>
      </c>
      <c r="L106" s="16" t="inlineStr">
        <is>
          <t>Medium</t>
        </is>
      </c>
      <c r="M106" s="16" t="inlineStr">
        <is>
          <t>T6.04</t>
        </is>
      </c>
      <c r="N106" s="16" t="inlineStr">
        <is>
          <t>DEC D17</t>
        </is>
      </c>
    </row>
    <row r="107" ht="36.75" customHeight="1" s="36">
      <c r="A107" s="8" t="inlineStr">
        <is>
          <t>T6.11</t>
        </is>
      </c>
      <c r="B107" s="8" t="inlineStr">
        <is>
          <t>T6</t>
        </is>
      </c>
      <c r="C107" s="16" t="inlineStr">
        <is>
          <t>VaR with 3 methods</t>
        </is>
      </c>
      <c r="D107" s="16" t="inlineStr">
        <is>
          <t>Express VaR in USD on the $10M NAV</t>
        </is>
      </c>
      <c r="E107" s="16" t="inlineStr">
        <is>
          <t>Sujan</t>
        </is>
      </c>
      <c r="F107" s="16" t="inlineStr">
        <is>
          <t>Done</t>
        </is>
      </c>
      <c r="G107" s="16" t="inlineStr">
        <is>
          <t>Week 2</t>
        </is>
      </c>
      <c r="H107" s="14" t="n"/>
      <c r="I107" s="16" t="inlineStr">
        <is>
          <t>VaR_usd / ES_usd columns</t>
        </is>
      </c>
      <c r="J107" s="16" t="n"/>
      <c r="K107" s="16" t="inlineStr">
        <is>
          <t>VaR_usd / ES_usd columns</t>
        </is>
      </c>
      <c r="L107" s="16" t="inlineStr">
        <is>
          <t>Critical</t>
        </is>
      </c>
      <c r="M107" s="16" t="inlineStr">
        <is>
          <t>T6.05</t>
        </is>
      </c>
      <c r="N107" s="16" t="inlineStr">
        <is>
          <t>FJ R-N01</t>
        </is>
      </c>
    </row>
    <row r="108" ht="36.75" customHeight="1" s="36">
      <c r="A108" s="8" t="inlineStr">
        <is>
          <t>T6.12</t>
        </is>
      </c>
      <c r="B108" s="8" t="inlineStr">
        <is>
          <t>T6</t>
        </is>
      </c>
      <c r="C108" s="16" t="inlineStr">
        <is>
          <t>VaR with 3 methods</t>
        </is>
      </c>
      <c r="D108" s="16" t="inlineStr">
        <is>
          <t>Forward-looking drawdown probabilities, e.g. P(DD &gt; 25% in 5 years), by block bootstrap</t>
        </is>
      </c>
      <c r="E108" s="16" t="inlineStr">
        <is>
          <t>Sujan</t>
        </is>
      </c>
      <c r="F108" s="16" t="inlineStr">
        <is>
          <t>Done</t>
        </is>
      </c>
      <c r="G108" s="16" t="inlineStr">
        <is>
          <t>Week 2</t>
        </is>
      </c>
      <c r="H108" s="14" t="n"/>
      <c r="I108" s="16" t="inlineStr">
        <is>
          <t>Probability table (reference + frontier portfolios; rerun for final candidates)</t>
        </is>
      </c>
      <c r="J108" s="16" t="n"/>
      <c r="K108" s="16" t="inlineStr">
        <is>
          <t>Probability table (reference + frontier portfolios; rerun for final candidates)</t>
        </is>
      </c>
      <c r="L108" s="16" t="inlineStr">
        <is>
          <t>High</t>
        </is>
      </c>
      <c r="M108" s="16" t="inlineStr">
        <is>
          <t>T4.16</t>
        </is>
      </c>
      <c r="N108" s="16" t="inlineStr">
        <is>
          <t>Research gap G1</t>
        </is>
      </c>
    </row>
    <row r="109" ht="36.75" customHeight="1" s="36">
      <c r="A109" s="8" t="inlineStr">
        <is>
          <t>T6.13</t>
        </is>
      </c>
      <c r="B109" s="8" t="inlineStr">
        <is>
          <t>T6</t>
        </is>
      </c>
      <c r="C109" s="16" t="inlineStr">
        <is>
          <t>VaR with 3 methods</t>
        </is>
      </c>
      <c r="D109" s="16" t="inlineStr">
        <is>
          <t>Speed up risk stage (~7 min; Student-t bootstrap refits)</t>
        </is>
      </c>
      <c r="E109" s="16" t="inlineStr">
        <is>
          <t>Sujan</t>
        </is>
      </c>
      <c r="F109" s="16" t="inlineStr">
        <is>
          <t>Not Started</t>
        </is>
      </c>
      <c r="G109" s="16" t="inlineStr">
        <is>
          <t>Week 2</t>
        </is>
      </c>
      <c r="H109" s="14" t="n"/>
      <c r="I109" s="16" t="n"/>
      <c r="J109" s="16" t="n"/>
      <c r="K109" s="16" t="inlineStr">
        <is>
          <t>run under ~2 min</t>
        </is>
      </c>
      <c r="L109" s="16" t="inlineStr">
        <is>
          <t>Medium</t>
        </is>
      </c>
      <c r="M109" s="16" t="inlineStr">
        <is>
          <t>—</t>
        </is>
      </c>
      <c r="N109" s="16" t="inlineStr">
        <is>
          <t>Build 2026-10-29</t>
        </is>
      </c>
    </row>
    <row r="110" ht="36.75" customHeight="1" s="36">
      <c r="A110" s="8" t="inlineStr">
        <is>
          <t>T7.01</t>
        </is>
      </c>
      <c r="B110" s="8" t="inlineStr">
        <is>
          <t>T7</t>
        </is>
      </c>
      <c r="C110" s="16" t="inlineStr">
        <is>
          <t>Expected Shortfall</t>
        </is>
      </c>
      <c r="D110" s="16" t="inlineStr">
        <is>
          <t>Compute Historical ES at 95% and 99%</t>
        </is>
      </c>
      <c r="E110" s="16" t="inlineStr">
        <is>
          <t>Sujan</t>
        </is>
      </c>
      <c r="F110" s="16" t="inlineStr">
        <is>
          <t>Done</t>
        </is>
      </c>
      <c r="G110" s="16" t="inlineStr">
        <is>
          <t>Week 2</t>
        </is>
      </c>
      <c r="H110" s="14" t="n"/>
      <c r="I110" s="16" t="inlineStr">
        <is>
          <t>var_es.historical ES</t>
        </is>
      </c>
      <c r="J110" s="16" t="n"/>
      <c r="K110" s="16" t="inlineStr">
        <is>
          <t>var_es.historical ES</t>
        </is>
      </c>
      <c r="L110" s="16" t="inlineStr">
        <is>
          <t>Critical</t>
        </is>
      </c>
      <c r="M110" s="16" t="inlineStr">
        <is>
          <t>T6.02</t>
        </is>
      </c>
      <c r="N110" s="16" t="inlineStr">
        <is>
          <t>PM · BR p.7</t>
        </is>
      </c>
    </row>
    <row r="111" ht="36.75" customHeight="1" s="36">
      <c r="A111" s="8" t="inlineStr">
        <is>
          <t>T7.02</t>
        </is>
      </c>
      <c r="B111" s="8" t="inlineStr">
        <is>
          <t>T7</t>
        </is>
      </c>
      <c r="C111" s="16" t="inlineStr">
        <is>
          <t>Expected Shortfall</t>
        </is>
      </c>
      <c r="D111" s="16" t="inlineStr">
        <is>
          <t>Compute ES from Parametric and Monte Carlo approaches</t>
        </is>
      </c>
      <c r="E111" s="16" t="inlineStr">
        <is>
          <t>Sujan</t>
        </is>
      </c>
      <c r="F111" s="16" t="inlineStr">
        <is>
          <t>Done</t>
        </is>
      </c>
      <c r="G111" s="16" t="inlineStr">
        <is>
          <t>Week 2</t>
        </is>
      </c>
      <c r="H111" s="14" t="n"/>
      <c r="I111" s="16" t="inlineStr">
        <is>
          <t>normal, Student-t (closed form) and MC ES</t>
        </is>
      </c>
      <c r="J111" s="16" t="n"/>
      <c r="K111" s="16" t="inlineStr">
        <is>
          <t>normal, Student-t (closed form) and MC ES</t>
        </is>
      </c>
      <c r="L111" s="16" t="inlineStr">
        <is>
          <t>Critical</t>
        </is>
      </c>
      <c r="M111" s="16" t="inlineStr">
        <is>
          <t>T6.03, T6.04</t>
        </is>
      </c>
      <c r="N111" s="16" t="inlineStr">
        <is>
          <t>PM</t>
        </is>
      </c>
    </row>
    <row r="112" ht="36.75" customHeight="1" s="36">
      <c r="A112" s="8" t="inlineStr">
        <is>
          <t>T7.03</t>
        </is>
      </c>
      <c r="B112" s="8" t="inlineStr">
        <is>
          <t>T7</t>
        </is>
      </c>
      <c r="C112" s="16" t="inlineStr">
        <is>
          <t>Expected Shortfall</t>
        </is>
      </c>
      <c r="D112" s="16" t="inlineStr">
        <is>
          <t>Compare corresponding VaR and ES outcomes</t>
        </is>
      </c>
      <c r="E112" s="16" t="inlineStr">
        <is>
          <t>Sujan</t>
        </is>
      </c>
      <c r="F112" s="16" t="inlineStr">
        <is>
          <t>Done</t>
        </is>
      </c>
      <c r="G112" s="16" t="inlineStr">
        <is>
          <t>Week 2</t>
        </is>
      </c>
      <c r="H112" s="14" t="n"/>
      <c r="I112" s="16" t="inlineStr">
        <is>
          <t>ES_over_VaR column; research doc §4</t>
        </is>
      </c>
      <c r="J112" s="16" t="n"/>
      <c r="K112" s="16" t="inlineStr">
        <is>
          <t>ES_over_VaR column; research doc §4</t>
        </is>
      </c>
      <c r="L112" s="16" t="inlineStr">
        <is>
          <t>Critical</t>
        </is>
      </c>
      <c r="M112" s="16" t="inlineStr">
        <is>
          <t>T7.01, T7.02</t>
        </is>
      </c>
      <c r="N112" s="16" t="inlineStr">
        <is>
          <t>PM</t>
        </is>
      </c>
    </row>
    <row r="113" ht="36.75" customHeight="1" s="36">
      <c r="A113" s="8" t="inlineStr">
        <is>
          <t>T7.04</t>
        </is>
      </c>
      <c r="B113" s="8" t="inlineStr">
        <is>
          <t>T7</t>
        </is>
      </c>
      <c r="C113" s="16" t="inlineStr">
        <is>
          <t>Expected Shortfall</t>
        </is>
      </c>
      <c r="D113" s="16" t="inlineStr">
        <is>
          <t>Explain expected tail losses and data limitations</t>
        </is>
      </c>
      <c r="E113" s="16" t="inlineStr">
        <is>
          <t>Sujan</t>
        </is>
      </c>
      <c r="F113" s="16" t="inlineStr">
        <is>
          <t>Done</t>
        </is>
      </c>
      <c r="G113" s="16" t="inlineStr">
        <is>
          <t>Week 2</t>
        </is>
      </c>
      <c r="H113" s="14" t="n"/>
      <c r="I113" s="16" t="inlineStr">
        <is>
          <t>research doc §2, §4</t>
        </is>
      </c>
      <c r="J113" s="16" t="n"/>
      <c r="K113" s="16" t="inlineStr">
        <is>
          <t>research doc §2, §4</t>
        </is>
      </c>
      <c r="L113" s="16" t="inlineStr">
        <is>
          <t>Critical</t>
        </is>
      </c>
      <c r="M113" s="16" t="inlineStr">
        <is>
          <t>T7.03</t>
        </is>
      </c>
      <c r="N113" s="16" t="inlineStr">
        <is>
          <t>PM · BR p.7</t>
        </is>
      </c>
    </row>
    <row r="114" ht="36.75" customHeight="1" s="36">
      <c r="A114" s="8" t="inlineStr">
        <is>
          <t>T7.05</t>
        </is>
      </c>
      <c r="B114" s="8" t="inlineStr">
        <is>
          <t>T7</t>
        </is>
      </c>
      <c r="C114" s="16" t="inlineStr">
        <is>
          <t>Expected Shortfall</t>
        </is>
      </c>
      <c r="D114" s="16" t="inlineStr">
        <is>
          <t>ES at 90% and uncertainty bands</t>
        </is>
      </c>
      <c r="E114" s="16" t="inlineStr">
        <is>
          <t>Sujan</t>
        </is>
      </c>
      <c r="F114" s="16" t="inlineStr">
        <is>
          <t>Done</t>
        </is>
      </c>
      <c r="G114" s="16" t="inlineStr">
        <is>
          <t>Week 2</t>
        </is>
      </c>
      <c r="H114" s="14" t="n"/>
      <c r="I114" s="16" t="inlineStr">
        <is>
          <t>ES at 90/95/99 with intervals</t>
        </is>
      </c>
      <c r="J114" s="16" t="n"/>
      <c r="K114" s="16" t="inlineStr">
        <is>
          <t>ES at 90/95/99 with intervals</t>
        </is>
      </c>
      <c r="L114" s="16" t="inlineStr">
        <is>
          <t>Critical</t>
        </is>
      </c>
      <c r="M114" s="16" t="inlineStr">
        <is>
          <t>T7.01, T7.02</t>
        </is>
      </c>
      <c r="N114" s="16" t="inlineStr">
        <is>
          <t>BR p.5 · DEC D18</t>
        </is>
      </c>
    </row>
    <row r="115" ht="36.75" customHeight="1" s="36">
      <c r="A115" s="8" t="inlineStr">
        <is>
          <t>T8.01</t>
        </is>
      </c>
      <c r="B115" s="8" t="inlineStr">
        <is>
          <t>T8</t>
        </is>
      </c>
      <c r="C115" s="16" t="inlineStr">
        <is>
          <t>EVT and GARCH</t>
        </is>
      </c>
      <c r="D115" s="16" t="inlineStr">
        <is>
          <t>Implement and diagnose conditional volatility (GARCH)</t>
        </is>
      </c>
      <c r="E115" s="16" t="inlineStr">
        <is>
          <t>Sujan</t>
        </is>
      </c>
      <c r="F115" s="16" t="inlineStr">
        <is>
          <t>Done</t>
        </is>
      </c>
      <c r="G115" s="16" t="inlineStr">
        <is>
          <t>Week 2</t>
        </is>
      </c>
      <c r="H115" s="14" t="n"/>
      <c r="I115" s="16" t="inlineStr">
        <is>
          <t>risk/evt_garch.fit_garch (GARCH(1,1)-t, rescaled) → p2_garch.csv; persistence 0.99, half-life 68–85 days</t>
        </is>
      </c>
      <c r="J115" s="16" t="n"/>
      <c r="K115" s="16" t="inlineStr">
        <is>
          <t>risk/evt_garch.fit_garch (GARCH(1,1)-t, rescaled) → p2_garch.csv; persistence 0.99, half-life 68–85 days</t>
        </is>
      </c>
      <c r="L115" s="16" t="inlineStr">
        <is>
          <t>High</t>
        </is>
      </c>
      <c r="M115" s="16" t="inlineStr">
        <is>
          <t>T6.01</t>
        </is>
      </c>
      <c r="N115" s="16" t="inlineStr">
        <is>
          <t>PM · FJ R05</t>
        </is>
      </c>
    </row>
    <row r="116" ht="36.75" customHeight="1" s="36">
      <c r="A116" s="8" t="inlineStr">
        <is>
          <t>T8.02</t>
        </is>
      </c>
      <c r="B116" s="8" t="inlineStr">
        <is>
          <t>T8</t>
        </is>
      </c>
      <c r="C116" s="16" t="inlineStr">
        <is>
          <t>EVT and GARCH</t>
        </is>
      </c>
      <c r="D116" s="16" t="inlineStr">
        <is>
          <t>Select EVT/GPD exceedance threshold with justification</t>
        </is>
      </c>
      <c r="E116" s="16" t="inlineStr">
        <is>
          <t>Sujan</t>
        </is>
      </c>
      <c r="F116" s="16" t="inlineStr">
        <is>
          <t>Done</t>
        </is>
      </c>
      <c r="G116" s="16" t="inlineStr">
        <is>
          <t>Week 2</t>
        </is>
      </c>
      <c r="H116" s="14" t="n"/>
      <c r="I116" s="16" t="inlineStr">
        <is>
          <t>choose_threshold: ≥150 exceedances, q&lt;95%, ξ stability; chosen on 2004–2019 → q=0.90</t>
        </is>
      </c>
      <c r="J116" s="16" t="n"/>
      <c r="K116" s="16" t="inlineStr">
        <is>
          <t>choose_threshold: ≥150 exceedances, q&lt;95%, ξ stability; chosen on 2004–2019 → q=0.90</t>
        </is>
      </c>
      <c r="L116" s="16" t="inlineStr">
        <is>
          <t>Critical</t>
        </is>
      </c>
      <c r="M116" s="16" t="inlineStr">
        <is>
          <t>T8.08</t>
        </is>
      </c>
      <c r="N116" s="16" t="inlineStr">
        <is>
          <t>PM · BR p.7</t>
        </is>
      </c>
    </row>
    <row r="117" ht="36.75" customHeight="1" s="36">
      <c r="A117" s="8" t="inlineStr">
        <is>
          <t>T8.03</t>
        </is>
      </c>
      <c r="B117" s="8" t="inlineStr">
        <is>
          <t>T8</t>
        </is>
      </c>
      <c r="C117" s="16" t="inlineStr">
        <is>
          <t>EVT and GARCH</t>
        </is>
      </c>
      <c r="D117" s="16" t="inlineStr">
        <is>
          <t>Fit tail distribution and test threshold sensitivity</t>
        </is>
      </c>
      <c r="E117" s="16" t="inlineStr">
        <is>
          <t>Sujan</t>
        </is>
      </c>
      <c r="F117" s="16" t="inlineStr">
        <is>
          <t>Done</t>
        </is>
      </c>
      <c r="G117" s="16" t="inlineStr">
        <is>
          <t>Week 2</t>
        </is>
      </c>
      <c r="H117" s="14" t="n"/>
      <c r="I117" s="16" t="inlineStr">
        <is>
          <t>threshold_stability (7 thresholds, bootstrap ξ CI) → p2_evt_thresholds.csv + figure</t>
        </is>
      </c>
      <c r="J117" s="16" t="n"/>
      <c r="K117" s="16" t="inlineStr">
        <is>
          <t>threshold_stability (7 thresholds, bootstrap ξ CI) → p2_evt_thresholds.csv + figure</t>
        </is>
      </c>
      <c r="L117" s="16" t="inlineStr">
        <is>
          <t>Critical</t>
        </is>
      </c>
      <c r="M117" s="16" t="inlineStr">
        <is>
          <t>T8.02</t>
        </is>
      </c>
      <c r="N117" s="16" t="inlineStr">
        <is>
          <t>PM · FJ R06</t>
        </is>
      </c>
    </row>
    <row r="118" ht="36.75" customHeight="1" s="36">
      <c r="A118" s="8" t="inlineStr">
        <is>
          <t>T8.04</t>
        </is>
      </c>
      <c r="B118" s="8" t="inlineStr">
        <is>
          <t>T8</t>
        </is>
      </c>
      <c r="C118" s="16" t="inlineStr">
        <is>
          <t>EVT and GARCH</t>
        </is>
      </c>
      <c r="D118" s="16" t="inlineStr">
        <is>
          <t>Estimate EVT VaR and ES at high confidence</t>
        </is>
      </c>
      <c r="E118" s="16" t="inlineStr">
        <is>
          <t>Sujan</t>
        </is>
      </c>
      <c r="F118" s="16" t="inlineStr">
        <is>
          <t>Done</t>
        </is>
      </c>
      <c r="G118" s="16" t="inlineStr">
        <is>
          <t>Week 2</t>
        </is>
      </c>
      <c r="H118" s="14" t="n"/>
      <c r="I118" s="16" t="inlineStr">
        <is>
          <t>evt_table → p2_evt.csv (95/99/99.5%)</t>
        </is>
      </c>
      <c r="J118" s="16" t="n"/>
      <c r="K118" s="16" t="inlineStr">
        <is>
          <t>evt_table → p2_evt.csv (95/99/99.5%)</t>
        </is>
      </c>
      <c r="L118" s="16" t="inlineStr">
        <is>
          <t>Critical</t>
        </is>
      </c>
      <c r="M118" s="16" t="inlineStr">
        <is>
          <t>T8.03</t>
        </is>
      </c>
      <c r="N118" s="16" t="inlineStr">
        <is>
          <t>PM</t>
        </is>
      </c>
    </row>
    <row r="119" ht="36.75" customHeight="1" s="36">
      <c r="A119" s="8" t="inlineStr">
        <is>
          <t>T8.05</t>
        </is>
      </c>
      <c r="B119" s="8" t="inlineStr">
        <is>
          <t>T8</t>
        </is>
      </c>
      <c r="C119" s="16" t="inlineStr">
        <is>
          <t>EVT and GARCH</t>
        </is>
      </c>
      <c r="D119" s="16" t="inlineStr">
        <is>
          <t>Compare GARCH/EVT and baseline estimates side by side</t>
        </is>
      </c>
      <c r="E119" s="16" t="inlineStr">
        <is>
          <t>Sujan</t>
        </is>
      </c>
      <c r="F119" s="16" t="inlineStr">
        <is>
          <t>Done</t>
        </is>
      </c>
      <c r="G119" s="16" t="inlineStr">
        <is>
          <t>Week 2</t>
        </is>
      </c>
      <c r="H119" s="14" t="n"/>
      <c r="I119" s="16" t="inlineStr">
        <is>
          <t>research doc P2 §5 (EVT vs historical vs GARCH-EVT vs normal)</t>
        </is>
      </c>
      <c r="J119" s="16" t="n"/>
      <c r="K119" s="16" t="inlineStr">
        <is>
          <t>research doc P2 §5 (EVT vs historical vs GARCH-EVT vs normal)</t>
        </is>
      </c>
      <c r="L119" s="16" t="inlineStr">
        <is>
          <t>Critical</t>
        </is>
      </c>
      <c r="M119" s="16" t="inlineStr">
        <is>
          <t>T8.04, T6.05</t>
        </is>
      </c>
      <c r="N119" s="16" t="inlineStr">
        <is>
          <t>PM · BR p.5 risk dashboard</t>
        </is>
      </c>
    </row>
    <row r="120" ht="36.75" customHeight="1" s="36">
      <c r="A120" s="8" t="inlineStr">
        <is>
          <t>T8.06</t>
        </is>
      </c>
      <c r="B120" s="8" t="inlineStr">
        <is>
          <t>T8</t>
        </is>
      </c>
      <c r="C120" s="16" t="inlineStr">
        <is>
          <t>EVT and GARCH</t>
        </is>
      </c>
      <c r="D120" s="16" t="inlineStr">
        <is>
          <t>Record instability, model assumptions and sparse-tail caveats</t>
        </is>
      </c>
      <c r="E120" s="16" t="inlineStr">
        <is>
          <t>Sujan</t>
        </is>
      </c>
      <c r="F120" s="16" t="inlineStr">
        <is>
          <t>Done</t>
        </is>
      </c>
      <c r="G120" s="16" t="inlineStr">
        <is>
          <t>Week 2</t>
        </is>
      </c>
      <c r="H120" s="14" t="n"/>
      <c r="I120" s="16" t="inlineStr">
        <is>
          <t>research doc §5: noise above 96%, regime dependence</t>
        </is>
      </c>
      <c r="J120" s="16" t="n"/>
      <c r="K120" s="16" t="inlineStr">
        <is>
          <t>research doc §5: noise above 96%, regime dependence</t>
        </is>
      </c>
      <c r="L120" s="16" t="inlineStr">
        <is>
          <t>Critical</t>
        </is>
      </c>
      <c r="M120" s="16" t="inlineStr">
        <is>
          <t>T8.03</t>
        </is>
      </c>
      <c r="N120" s="16" t="inlineStr">
        <is>
          <t>PM</t>
        </is>
      </c>
    </row>
    <row r="121" ht="36.75" customHeight="1" s="36">
      <c r="A121" s="8" t="inlineStr">
        <is>
          <t>T8.07</t>
        </is>
      </c>
      <c r="B121" s="8" t="inlineStr">
        <is>
          <t>T8</t>
        </is>
      </c>
      <c r="C121" s="16" t="inlineStr">
        <is>
          <t>EVT and GARCH</t>
        </is>
      </c>
      <c r="D121" s="16" t="inlineStr">
        <is>
          <t>Fit EVT on GARCH-filtered residuals (i.i.d. requirement)</t>
        </is>
      </c>
      <c r="E121" s="16" t="inlineStr">
        <is>
          <t>Sujan</t>
        </is>
      </c>
      <c r="F121" s="16" t="inlineStr">
        <is>
          <t>Done</t>
        </is>
      </c>
      <c r="G121" s="16" t="inlineStr">
        <is>
          <t>Week 2</t>
        </is>
      </c>
      <c r="H121" s="14" t="n"/>
      <c r="I121" s="16" t="inlineStr">
        <is>
          <t>garch_evt (McNeil–Frey) → p2_garch_evt.csv (current + long-run)</t>
        </is>
      </c>
      <c r="J121" s="16" t="n"/>
      <c r="K121" s="16" t="inlineStr">
        <is>
          <t>garch_evt (McNeil–Frey) → p2_garch_evt.csv (current + long-run)</t>
        </is>
      </c>
      <c r="L121" s="16" t="inlineStr">
        <is>
          <t>High</t>
        </is>
      </c>
      <c r="M121" s="16" t="inlineStr">
        <is>
          <t>T8.01</t>
        </is>
      </c>
      <c r="N121" s="16" t="inlineStr">
        <is>
          <t>DEC D8 · REV</t>
        </is>
      </c>
    </row>
    <row r="122" ht="36.75" customHeight="1" s="36">
      <c r="A122" s="8" t="inlineStr">
        <is>
          <t>T8.08</t>
        </is>
      </c>
      <c r="B122" s="8" t="inlineStr">
        <is>
          <t>T8</t>
        </is>
      </c>
      <c r="C122" s="16" t="inlineStr">
        <is>
          <t>EVT and GARCH</t>
        </is>
      </c>
      <c r="D122" s="16" t="inlineStr">
        <is>
          <t>Mean-excess and parameter-stability plots</t>
        </is>
      </c>
      <c r="E122" s="16" t="inlineStr">
        <is>
          <t>Sujan</t>
        </is>
      </c>
      <c r="F122" s="16" t="inlineStr">
        <is>
          <t>Done</t>
        </is>
      </c>
      <c r="G122" s="16" t="inlineStr">
        <is>
          <t>Week 2</t>
        </is>
      </c>
      <c r="H122" s="14" t="n"/>
      <c r="I122" s="16" t="inlineStr">
        <is>
          <t>figures/evt_threshold_d26.png (mean excess + ξ stability)</t>
        </is>
      </c>
      <c r="J122" s="16" t="n"/>
      <c r="K122" s="16" t="inlineStr">
        <is>
          <t>figures/evt_threshold_d26.png (mean excess + ξ stability)</t>
        </is>
      </c>
      <c r="L122" s="16" t="inlineStr">
        <is>
          <t>Critical</t>
        </is>
      </c>
      <c r="M122" s="16" t="inlineStr">
        <is>
          <t>T6.01</t>
        </is>
      </c>
      <c r="N122" s="16" t="inlineStr">
        <is>
          <t>DEC D8 · FJ EVT quality gate</t>
        </is>
      </c>
    </row>
    <row r="123" ht="36.75" customHeight="1" s="36">
      <c r="A123" s="8" t="inlineStr">
        <is>
          <t>T8.09</t>
        </is>
      </c>
      <c r="B123" s="8" t="inlineStr">
        <is>
          <t>T8</t>
        </is>
      </c>
      <c r="C123" s="16" t="inlineStr">
        <is>
          <t>EVT and GARCH</t>
        </is>
      </c>
      <c r="D123" s="16" t="inlineStr">
        <is>
          <t>Confidence intervals for ξ, β and EVT VaR/ES</t>
        </is>
      </c>
      <c r="E123" s="16" t="inlineStr">
        <is>
          <t>Sujan</t>
        </is>
      </c>
      <c r="F123" s="16" t="inlineStr">
        <is>
          <t>Done</t>
        </is>
      </c>
      <c r="G123" s="16" t="inlineStr">
        <is>
          <t>Week 2</t>
        </is>
      </c>
      <c r="H123" s="14" t="n"/>
      <c r="I123" s="16" t="inlineStr">
        <is>
          <t>bootstrap intervals for EVT VaR/ES (200 reps on exceedances)</t>
        </is>
      </c>
      <c r="J123" s="16" t="n"/>
      <c r="K123" s="16" t="inlineStr">
        <is>
          <t>bootstrap intervals for EVT VaR/ES (200 reps on exceedances)</t>
        </is>
      </c>
      <c r="L123" s="16" t="inlineStr">
        <is>
          <t>Critical</t>
        </is>
      </c>
      <c r="M123" s="16" t="inlineStr">
        <is>
          <t>T8.04</t>
        </is>
      </c>
      <c r="N123" s="16" t="inlineStr">
        <is>
          <t>BR p.5 · DEC D18</t>
        </is>
      </c>
    </row>
    <row r="124" ht="36.75" customHeight="1" s="36">
      <c r="A124" s="8" t="inlineStr">
        <is>
          <t>T8.10</t>
        </is>
      </c>
      <c r="B124" s="8" t="inlineStr">
        <is>
          <t>T8</t>
        </is>
      </c>
      <c r="C124" s="16" t="inlineStr">
        <is>
          <t>EVT and GARCH</t>
        </is>
      </c>
      <c r="D124" s="16" t="inlineStr">
        <is>
          <t>Rule for EVT at 90% when the quantile falls below the threshold</t>
        </is>
      </c>
      <c r="E124" s="16" t="inlineStr">
        <is>
          <t>Sujan</t>
        </is>
      </c>
      <c r="F124" s="16" t="inlineStr">
        <is>
          <t>Done</t>
        </is>
      </c>
      <c r="G124" s="16" t="inlineStr">
        <is>
          <t>Week 2</t>
        </is>
      </c>
      <c r="H124" s="14" t="n"/>
      <c r="I124" s="16" t="inlineStr">
        <is>
          <t>α ≤ threshold quantile → not applicable (explicit rule + test)</t>
        </is>
      </c>
      <c r="J124" s="16" t="n"/>
      <c r="K124" s="16" t="inlineStr">
        <is>
          <t>α ≤ threshold quantile → not applicable (explicit rule + test)</t>
        </is>
      </c>
      <c r="L124" s="16" t="inlineStr">
        <is>
          <t>High</t>
        </is>
      </c>
      <c r="M124" s="16" t="inlineStr">
        <is>
          <t>T8.04</t>
        </is>
      </c>
      <c r="N124" s="16" t="inlineStr">
        <is>
          <t>REV · BR p.5</t>
        </is>
      </c>
    </row>
    <row r="125" ht="36.75" customHeight="1" s="36">
      <c r="A125" s="8" t="inlineStr">
        <is>
          <t>T8.11</t>
        </is>
      </c>
      <c r="B125" s="8" t="inlineStr">
        <is>
          <t>T8</t>
        </is>
      </c>
      <c r="C125" s="16" t="inlineStr">
        <is>
          <t>EVT and GARCH</t>
        </is>
      </c>
      <c r="D125" s="16" t="inlineStr">
        <is>
          <t>Evaluate VaR/ES/EVT performance on stress windows (2008, 2020)</t>
        </is>
      </c>
      <c r="E125" s="16" t="inlineStr">
        <is>
          <t>Sujan</t>
        </is>
      </c>
      <c r="F125" s="16" t="inlineStr">
        <is>
          <t>Done</t>
        </is>
      </c>
      <c r="G125" s="16" t="inlineStr">
        <is>
          <t>Week 2</t>
        </is>
      </c>
      <c r="H125" s="14" t="n"/>
      <c r="I125" s="16" t="inlineStr">
        <is>
          <t>T10 doc §4: COVID 4 vs 8 exceptions, 2022 3 vs 8 (GARCH-EVT vs historical)</t>
        </is>
      </c>
      <c r="J125" s="16" t="n"/>
      <c r="K125" s="16" t="inlineStr">
        <is>
          <t>T10 doc §4: COVID 4 vs 8 exceptions, 2022 3 vs 8 (GARCH-EVT vs historical)</t>
        </is>
      </c>
      <c r="L125" s="16" t="inlineStr">
        <is>
          <t>Critical</t>
        </is>
      </c>
      <c r="M125" s="16" t="inlineStr">
        <is>
          <t>T10.02 (rolling OOS forecasts)</t>
        </is>
      </c>
      <c r="N125" s="16" t="inlineStr">
        <is>
          <t>BR p.7 · R18 · moved to validation stage</t>
        </is>
      </c>
    </row>
    <row r="126" ht="36.75" customHeight="1" s="36">
      <c r="A126" s="8" t="inlineStr">
        <is>
          <t>T8.12</t>
        </is>
      </c>
      <c r="B126" s="8" t="inlineStr">
        <is>
          <t>T8</t>
        </is>
      </c>
      <c r="C126" s="16" t="inlineStr">
        <is>
          <t>EVT and GARCH</t>
        </is>
      </c>
      <c r="D126" s="16" t="inlineStr">
        <is>
          <t>Feasibility frontier under ERP 3–6% and a resampled frontier</t>
        </is>
      </c>
      <c r="E126" s="16" t="inlineStr">
        <is>
          <t>Sujan</t>
        </is>
      </c>
      <c r="F126" s="16" t="inlineStr">
        <is>
          <t>Not Started</t>
        </is>
      </c>
      <c r="G126" s="16" t="inlineStr">
        <is>
          <t>Week 2</t>
        </is>
      </c>
      <c r="H126" s="14" t="n"/>
      <c r="I126" s="16" t="n"/>
      <c r="J126" s="16" t="n"/>
      <c r="K126" s="16" t="inlineStr">
        <is>
          <t>Sensitivity of §4 table</t>
        </is>
      </c>
      <c r="L126" s="16" t="inlineStr">
        <is>
          <t>Medium</t>
        </is>
      </c>
      <c r="M126" s="16" t="inlineStr">
        <is>
          <t>T4.11</t>
        </is>
      </c>
      <c r="N126" s="16" t="inlineStr">
        <is>
          <t>Research gap G7</t>
        </is>
      </c>
    </row>
    <row r="127" ht="36.75" customHeight="1" s="36">
      <c r="A127" s="8" t="inlineStr">
        <is>
          <t>T9.01</t>
        </is>
      </c>
      <c r="B127" s="8" t="inlineStr">
        <is>
          <t>T9</t>
        </is>
      </c>
      <c r="C127" s="16" t="inlineStr">
        <is>
          <t>Risk budgeting</t>
        </is>
      </c>
      <c r="D127" s="16" t="inlineStr">
        <is>
          <t>Define marginal and component VaR methodology</t>
        </is>
      </c>
      <c r="E127" s="16" t="inlineStr">
        <is>
          <t>Sujan</t>
        </is>
      </c>
      <c r="F127" s="16" t="inlineStr">
        <is>
          <t>Done</t>
        </is>
      </c>
      <c r="G127" s="16" t="inlineStr">
        <is>
          <t>Week 2</t>
        </is>
      </c>
      <c r="H127" s="14" t="n"/>
      <c r="I127" s="16" t="inlineStr">
        <is>
          <t>risk/attribution.py: Euler, scenario-based (ES exact, VaR band) + normal cross-check</t>
        </is>
      </c>
      <c r="J127" s="16" t="n"/>
      <c r="K127" s="16" t="inlineStr">
        <is>
          <t>risk/attribution.py: Euler, scenario-based (ES exact, VaR band) + normal cross-check</t>
        </is>
      </c>
      <c r="L127" s="16" t="inlineStr">
        <is>
          <t>Critical</t>
        </is>
      </c>
      <c r="M127" s="16" t="inlineStr">
        <is>
          <t>T6.05</t>
        </is>
      </c>
      <c r="N127" s="16" t="inlineStr">
        <is>
          <t>PM · BR p.8</t>
        </is>
      </c>
    </row>
    <row r="128" ht="36.75" customHeight="1" s="36">
      <c r="A128" s="8" t="inlineStr">
        <is>
          <t>T9.02</t>
        </is>
      </c>
      <c r="B128" s="8" t="inlineStr">
        <is>
          <t>T9</t>
        </is>
      </c>
      <c r="C128" s="16" t="inlineStr">
        <is>
          <t>Risk budgeting</t>
        </is>
      </c>
      <c r="D128" s="16" t="inlineStr">
        <is>
          <t>Estimate ETF-level marginal VaR and ES contributions</t>
        </is>
      </c>
      <c r="E128" s="16" t="inlineStr">
        <is>
          <t>Sujan</t>
        </is>
      </c>
      <c r="F128" s="16" t="inlineStr">
        <is>
          <t>Done</t>
        </is>
      </c>
      <c r="G128" s="16" t="inlineStr">
        <is>
          <t>Week 2</t>
        </is>
      </c>
      <c r="H128" s="14" t="n"/>
      <c r="I128" s="16" t="inlineStr">
        <is>
          <t>outputs/tables/p2_attribution.csv (6 portfolios × 7 ETFs × 95/99%)</t>
        </is>
      </c>
      <c r="J128" s="16" t="n"/>
      <c r="K128" s="16" t="inlineStr">
        <is>
          <t>outputs/tables/p2_attribution.csv (6 portfolios × 7 ETFs × 95/99%)</t>
        </is>
      </c>
      <c r="L128" s="16" t="inlineStr">
        <is>
          <t>Critical</t>
        </is>
      </c>
      <c r="M128" s="16" t="inlineStr">
        <is>
          <t>T9.01</t>
        </is>
      </c>
      <c r="N128" s="16" t="inlineStr">
        <is>
          <t>PM</t>
        </is>
      </c>
    </row>
    <row r="129" ht="36.75" customHeight="1" s="36">
      <c r="A129" s="8" t="inlineStr">
        <is>
          <t>T9.03</t>
        </is>
      </c>
      <c r="B129" s="8" t="inlineStr">
        <is>
          <t>T9</t>
        </is>
      </c>
      <c r="C129" s="16" t="inlineStr">
        <is>
          <t>Risk budgeting</t>
        </is>
      </c>
      <c r="D129" s="16" t="inlineStr">
        <is>
          <t>Check contribution aggregation and approximations</t>
        </is>
      </c>
      <c r="E129" s="16" t="inlineStr">
        <is>
          <t>Sujan</t>
        </is>
      </c>
      <c r="F129" s="16" t="inlineStr">
        <is>
          <t>Done</t>
        </is>
      </c>
      <c r="G129" s="16" t="inlineStr">
        <is>
          <t>Week 2</t>
        </is>
      </c>
      <c r="H129" s="14" t="n"/>
      <c r="I129" s="16" t="inlineStr">
        <is>
          <t>sum-to-total test (exact for ES/VaR); normal cross-check within 4 pp</t>
        </is>
      </c>
      <c r="J129" s="16" t="n"/>
      <c r="K129" s="16" t="inlineStr">
        <is>
          <t>sum-to-total test (exact for ES/VaR); normal cross-check within 4 pp</t>
        </is>
      </c>
      <c r="L129" s="16" t="inlineStr">
        <is>
          <t>High</t>
        </is>
      </c>
      <c r="M129" s="16" t="inlineStr">
        <is>
          <t>T9.02</t>
        </is>
      </c>
      <c r="N129" s="16" t="inlineStr">
        <is>
          <t>PM</t>
        </is>
      </c>
    </row>
    <row r="130" ht="36.75" customHeight="1" s="36">
      <c r="A130" s="8" t="inlineStr">
        <is>
          <t>T9.04</t>
        </is>
      </c>
      <c r="B130" s="8" t="inlineStr">
        <is>
          <t>T9</t>
        </is>
      </c>
      <c r="C130" s="16" t="inlineStr">
        <is>
          <t>Risk budgeting</t>
        </is>
      </c>
      <c r="D130" s="16" t="inlineStr">
        <is>
          <t>Recommend position-size adjustments and rationale</t>
        </is>
      </c>
      <c r="E130" s="16" t="inlineStr">
        <is>
          <t>Sujan</t>
        </is>
      </c>
      <c r="F130" s="16" t="inlineStr">
        <is>
          <t>Done</t>
        </is>
      </c>
      <c r="G130" s="16" t="inlineStr">
        <is>
          <t>Week 2</t>
        </is>
      </c>
      <c r="H130" s="14" t="n"/>
      <c r="I130" s="16" t="inlineStr">
        <is>
          <t>D27 cap applied in D26 re-selection: SPY 36→20%, EFA 0→9%, XLE 3%, XLK 10% (P2 §6a)</t>
        </is>
      </c>
      <c r="J130" s="16" t="n"/>
      <c r="K130" s="16" t="inlineStr">
        <is>
          <t>D27 cap applied in D26 re-selection: SPY 36→20%, EFA 0→9%, XLE 3%, XLK 10% (P2 §6a)</t>
        </is>
      </c>
      <c r="L130" s="16" t="inlineStr">
        <is>
          <t>Critical</t>
        </is>
      </c>
      <c r="M130" s="16" t="inlineStr">
        <is>
          <t>T9.03</t>
        </is>
      </c>
      <c r="N130" s="16" t="inlineStr">
        <is>
          <t>PM · BR p.8</t>
        </is>
      </c>
    </row>
    <row r="131" ht="36.75" customHeight="1" s="36">
      <c r="A131" s="8" t="inlineStr">
        <is>
          <t>T9.05</t>
        </is>
      </c>
      <c r="B131" s="8" t="inlineStr">
        <is>
          <t>T9</t>
        </is>
      </c>
      <c r="C131" s="16" t="inlineStr">
        <is>
          <t>Risk budgeting</t>
        </is>
      </c>
      <c r="D131" s="16" t="inlineStr">
        <is>
          <t>Risk contribution vs capital weight chart</t>
        </is>
      </c>
      <c r="E131" s="16" t="inlineStr">
        <is>
          <t>Sujan</t>
        </is>
      </c>
      <c r="F131" s="16" t="inlineStr">
        <is>
          <t>Done</t>
        </is>
      </c>
      <c r="G131" s="16" t="inlineStr">
        <is>
          <t>Week 2</t>
        </is>
      </c>
      <c r="H131" s="14" t="n"/>
      <c r="I131" s="16" t="inlineStr">
        <is>
          <t>outputs/figures/risk_vs_weight.png</t>
        </is>
      </c>
      <c r="J131" s="16" t="n"/>
      <c r="K131" s="16" t="inlineStr">
        <is>
          <t>outputs/figures/risk_vs_weight.png</t>
        </is>
      </c>
      <c r="L131" s="16" t="inlineStr">
        <is>
          <t>High</t>
        </is>
      </c>
      <c r="M131" s="16" t="inlineStr">
        <is>
          <t>T9.02</t>
        </is>
      </c>
      <c r="N131" s="16" t="inlineStr">
        <is>
          <t>FJ R07</t>
        </is>
      </c>
    </row>
    <row r="132" ht="36.75" customHeight="1" s="36">
      <c r="A132" s="8" t="inlineStr">
        <is>
          <t>T9.06</t>
        </is>
      </c>
      <c r="B132" s="8" t="inlineStr">
        <is>
          <t>T9</t>
        </is>
      </c>
      <c r="C132" s="16" t="inlineStr">
        <is>
          <t>Risk budgeting</t>
        </is>
      </c>
      <c r="D132" s="16" t="inlineStr">
        <is>
          <t>Set the component-ES concentration limit (draft: no ETF &gt; 40% of ES)</t>
        </is>
      </c>
      <c r="E132" s="16" t="inlineStr">
        <is>
          <t>Sujan</t>
        </is>
      </c>
      <c r="F132" s="16" t="inlineStr">
        <is>
          <t>Done</t>
        </is>
      </c>
      <c r="G132" s="16" t="inlineStr">
        <is>
          <t>Week 2</t>
        </is>
      </c>
      <c r="H132" s="14" t="n"/>
      <c r="I132" s="16" t="inlineStr">
        <is>
          <t>D27 APPROVED 40% (config constraints.component_es_max); 5-cap study research_d27_cap.csv</t>
        </is>
      </c>
      <c r="J132" s="16" t="n"/>
      <c r="K132" s="16" t="inlineStr">
        <is>
          <t>D27 APPROVED 40% (config constraints.component_es_max); 5-cap study research_d27_cap.csv</t>
        </is>
      </c>
      <c r="L132" s="16" t="inlineStr">
        <is>
          <t>High</t>
        </is>
      </c>
      <c r="M132" s="16" t="inlineStr">
        <is>
          <t>T9.02</t>
        </is>
      </c>
      <c r="N132" s="16" t="inlineStr">
        <is>
          <t>Research gap G4</t>
        </is>
      </c>
    </row>
    <row r="133" ht="36.75" customHeight="1" s="36">
      <c r="A133" s="8" t="inlineStr">
        <is>
          <t>T10.01</t>
        </is>
      </c>
      <c r="B133" s="8" t="inlineStr">
        <is>
          <t>T10</t>
        </is>
      </c>
      <c r="C133" s="16" t="inlineStr">
        <is>
          <t>Backtesting</t>
        </is>
      </c>
      <c r="D133" s="16" t="inlineStr">
        <is>
          <t>Define chronological out-of-sample rolling window</t>
        </is>
      </c>
      <c r="E133" s="16" t="inlineStr">
        <is>
          <t>Malindu</t>
        </is>
      </c>
      <c r="F133" s="16" t="inlineStr">
        <is>
          <t>Done</t>
        </is>
      </c>
      <c r="G133" s="16" t="inlineStr">
        <is>
          <t>Weeks 2–3</t>
        </is>
      </c>
      <c r="H133" s="14" t="n"/>
      <c r="I133" s="16" t="inlineStr">
        <is>
          <t>D13 1,000-day window, forecasts from 2015-01-02 (history from 2011); validation 2015–19, test 2020 → (locked)</t>
        </is>
      </c>
      <c r="J133" s="16" t="n"/>
      <c r="K133" s="16" t="inlineStr">
        <is>
          <t>D13 1,000-day window, forecasts from 2015-01-02 (history from 2011); validation 2015–19, test 2020 → (locked)</t>
        </is>
      </c>
      <c r="L133" s="16" t="inlineStr">
        <is>
          <t>Critical</t>
        </is>
      </c>
      <c r="M133" s="16" t="inlineStr">
        <is>
          <t>T2.13, T1.07</t>
        </is>
      </c>
      <c r="N133" s="16" t="inlineStr">
        <is>
          <t>PM · FJ VD01</t>
        </is>
      </c>
    </row>
    <row r="134" ht="36.75" customHeight="1" s="36">
      <c r="A134" s="8" t="inlineStr">
        <is>
          <t>T10.02</t>
        </is>
      </c>
      <c r="B134" s="8" t="inlineStr">
        <is>
          <t>T10</t>
        </is>
      </c>
      <c r="C134" s="16" t="inlineStr">
        <is>
          <t>Backtesting</t>
        </is>
      </c>
      <c r="D134" s="16" t="inlineStr">
        <is>
          <t>Produce date-aligned VaR forecasts without look-ahead</t>
        </is>
      </c>
      <c r="E134" s="16" t="inlineStr">
        <is>
          <t>Malindu</t>
        </is>
      </c>
      <c r="F134" s="16" t="inlineStr">
        <is>
          <t>Done</t>
        </is>
      </c>
      <c r="G134" s="16" t="inlineStr">
        <is>
          <t>Weeks 2–3</t>
        </is>
      </c>
      <c r="H134" s="14" t="n"/>
      <c r="I134" s="16" t="inlineStr">
        <is>
          <t>validation/backtest.rolling_forecasts (data ≤ t−1; GARCH/MC refit 21d) + no-look-ahead unit test</t>
        </is>
      </c>
      <c r="J134" s="16" t="n"/>
      <c r="K134" s="16" t="inlineStr">
        <is>
          <t>validation/backtest.rolling_forecasts (data ≤ t−1; GARCH/MC refit 21d) + no-look-ahead unit test</t>
        </is>
      </c>
      <c r="L134" s="16" t="inlineStr">
        <is>
          <t>Critical</t>
        </is>
      </c>
      <c r="M134" s="16" t="inlineStr">
        <is>
          <t>T10.01, T6.05</t>
        </is>
      </c>
      <c r="N134" s="16" t="inlineStr">
        <is>
          <t>PM · BR p.7</t>
        </is>
      </c>
    </row>
    <row r="135" ht="36.75" customHeight="1" s="36">
      <c r="A135" s="8" t="inlineStr">
        <is>
          <t>T10.03</t>
        </is>
      </c>
      <c r="B135" s="8" t="inlineStr">
        <is>
          <t>T10</t>
        </is>
      </c>
      <c r="C135" s="16" t="inlineStr">
        <is>
          <t>Backtesting</t>
        </is>
      </c>
      <c r="D135" s="16" t="inlineStr">
        <is>
          <t>Count exceptions against the chosen confidence level</t>
        </is>
      </c>
      <c r="E135" s="16" t="inlineStr">
        <is>
          <t>Malindu</t>
        </is>
      </c>
      <c r="F135" s="16" t="inlineStr">
        <is>
          <t>Done</t>
        </is>
      </c>
      <c r="G135" s="16" t="inlineStr">
        <is>
          <t>Weeks 2–3</t>
        </is>
      </c>
      <c r="H135" s="14" t="n"/>
      <c r="I135" s="16" t="inlineStr">
        <is>
          <t>coverage.evaluate (loss &gt; VaR) → backtest_results_validation.csv</t>
        </is>
      </c>
      <c r="J135" s="16" t="n"/>
      <c r="K135" s="16" t="inlineStr">
        <is>
          <t>coverage.evaluate (loss &gt; VaR) → backtest_results_validation.csv</t>
        </is>
      </c>
      <c r="L135" s="16" t="inlineStr">
        <is>
          <t>Critical</t>
        </is>
      </c>
      <c r="M135" s="16" t="inlineStr">
        <is>
          <t>T10.02</t>
        </is>
      </c>
      <c r="N135" s="16" t="inlineStr">
        <is>
          <t>PM</t>
        </is>
      </c>
    </row>
    <row r="136" ht="36.75" customHeight="1" s="36">
      <c r="A136" s="8" t="inlineStr">
        <is>
          <t>T10.04</t>
        </is>
      </c>
      <c r="B136" s="8" t="inlineStr">
        <is>
          <t>T10</t>
        </is>
      </c>
      <c r="C136" s="16" t="inlineStr">
        <is>
          <t>Backtesting</t>
        </is>
      </c>
      <c r="D136" s="16" t="inlineStr">
        <is>
          <t>Perform Kupiec unconditional coverage test</t>
        </is>
      </c>
      <c r="E136" s="16" t="inlineStr">
        <is>
          <t>Malindu</t>
        </is>
      </c>
      <c r="F136" s="16" t="inlineStr">
        <is>
          <t>Done</t>
        </is>
      </c>
      <c r="G136" s="16" t="inlineStr">
        <is>
          <t>Weeks 2–3</t>
        </is>
      </c>
      <c r="H136" s="14" t="n"/>
      <c r="I136" s="16" t="inlineStr">
        <is>
          <t>coverage.kupiec (+ x = 0 case, unit test)</t>
        </is>
      </c>
      <c r="J136" s="16" t="n"/>
      <c r="K136" s="16" t="inlineStr">
        <is>
          <t>coverage.kupiec (+ x = 0 case, unit test)</t>
        </is>
      </c>
      <c r="L136" s="16" t="inlineStr">
        <is>
          <t>Critical</t>
        </is>
      </c>
      <c r="M136" s="16" t="inlineStr">
        <is>
          <t>T10.03</t>
        </is>
      </c>
      <c r="N136" s="16" t="inlineStr">
        <is>
          <t>PM · BR p.7</t>
        </is>
      </c>
    </row>
    <row r="137" ht="36.75" customHeight="1" s="36">
      <c r="A137" s="8" t="inlineStr">
        <is>
          <t>T10.05</t>
        </is>
      </c>
      <c r="B137" s="8" t="inlineStr">
        <is>
          <t>T10</t>
        </is>
      </c>
      <c r="C137" s="16" t="inlineStr">
        <is>
          <t>Backtesting</t>
        </is>
      </c>
      <c r="D137" s="16" t="inlineStr">
        <is>
          <t>Perform Christoffersen independence/coverage tests</t>
        </is>
      </c>
      <c r="E137" s="16" t="inlineStr">
        <is>
          <t>Malindu</t>
        </is>
      </c>
      <c r="F137" s="16" t="inlineStr">
        <is>
          <t>Done</t>
        </is>
      </c>
      <c r="G137" s="16" t="inlineStr">
        <is>
          <t>Weeks 2–3</t>
        </is>
      </c>
      <c r="H137" s="14" t="n"/>
      <c r="I137" s="16" t="inlineStr">
        <is>
          <t>coverage.christoffersen (n₁₁ = 0 via xlogy, unit test)</t>
        </is>
      </c>
      <c r="J137" s="16" t="n"/>
      <c r="K137" s="16" t="inlineStr">
        <is>
          <t>coverage.christoffersen (n₁₁ = 0 via xlogy, unit test)</t>
        </is>
      </c>
      <c r="L137" s="16" t="inlineStr">
        <is>
          <t>Critical</t>
        </is>
      </c>
      <c r="M137" s="16" t="inlineStr">
        <is>
          <t>T10.03</t>
        </is>
      </c>
      <c r="N137" s="16" t="inlineStr">
        <is>
          <t>PM · BR p.7</t>
        </is>
      </c>
    </row>
    <row r="138" ht="36.75" customHeight="1" s="36">
      <c r="A138" s="8" t="inlineStr">
        <is>
          <t>T10.06</t>
        </is>
      </c>
      <c r="B138" s="8" t="inlineStr">
        <is>
          <t>T10</t>
        </is>
      </c>
      <c r="C138" s="16" t="inlineStr">
        <is>
          <t>Backtesting</t>
        </is>
      </c>
      <c r="D138" s="16" t="inlineStr">
        <is>
          <t>Apply Basel traffic light only for appropriate VaR settings</t>
        </is>
      </c>
      <c r="E138" s="16" t="inlineStr">
        <is>
          <t>Malindu</t>
        </is>
      </c>
      <c r="F138" s="16" t="inlineStr">
        <is>
          <t>Done</t>
        </is>
      </c>
      <c r="G138" s="16" t="inlineStr">
        <is>
          <t>Weeks 2–3</t>
        </is>
      </c>
      <c r="H138" s="14" t="n"/>
      <c r="I138" s="16" t="inlineStr">
        <is>
          <t>coverage.basel: 99% only, every 250-day window</t>
        </is>
      </c>
      <c r="J138" s="16" t="n"/>
      <c r="K138" s="16" t="inlineStr">
        <is>
          <t>coverage.basel: 99% only, every 250-day window</t>
        </is>
      </c>
      <c r="L138" s="16" t="inlineStr">
        <is>
          <t>Critical</t>
        </is>
      </c>
      <c r="M138" s="16" t="inlineStr">
        <is>
          <t>T10.03</t>
        </is>
      </c>
      <c r="N138" s="16" t="inlineStr">
        <is>
          <t>PM · BR p.7</t>
        </is>
      </c>
    </row>
    <row r="139" ht="36.75" customHeight="1" s="36">
      <c r="A139" s="8" t="inlineStr">
        <is>
          <t>T10.07</t>
        </is>
      </c>
      <c r="B139" s="8" t="inlineStr">
        <is>
          <t>T10</t>
        </is>
      </c>
      <c r="C139" s="16" t="inlineStr">
        <is>
          <t>Backtesting</t>
        </is>
      </c>
      <c r="D139" s="16" t="inlineStr">
        <is>
          <t>Choose the model on validation data only; freeze before test</t>
        </is>
      </c>
      <c r="E139" s="16" t="inlineStr">
        <is>
          <t>Malindu</t>
        </is>
      </c>
      <c r="F139" s="16" t="inlineStr">
        <is>
          <t>Done</t>
        </is>
      </c>
      <c r="G139" s="16" t="inlineStr">
        <is>
          <t>Weeks 2–3</t>
        </is>
      </c>
      <c r="H139" s="14" t="n"/>
      <c r="I139" s="16" t="inlineStr">
        <is>
          <t>D28 APPROVED: GARCH-EVT frozen (60e67e3) before test; test run once: 22/17.1 exc, p_cc 0.29, no red window</t>
        </is>
      </c>
      <c r="J139" s="16" t="n"/>
      <c r="K139" s="16" t="inlineStr">
        <is>
          <t>D28 APPROVED: GARCH-EVT frozen (60e67e3) before test; test run once: 22/17.1 exc, p_cc 0.29, no red window</t>
        </is>
      </c>
      <c r="L139" s="16" t="inlineStr">
        <is>
          <t>Critical</t>
        </is>
      </c>
      <c r="M139" s="16" t="inlineStr">
        <is>
          <t>T10.04, T10.05</t>
        </is>
      </c>
      <c r="N139" s="16" t="inlineStr">
        <is>
          <t>FJ OOS integrity gate</t>
        </is>
      </c>
    </row>
    <row r="140" ht="36.75" customHeight="1" s="36">
      <c r="A140" s="8" t="inlineStr">
        <is>
          <t>T10.08</t>
        </is>
      </c>
      <c r="B140" s="8" t="inlineStr">
        <is>
          <t>T10</t>
        </is>
      </c>
      <c r="C140" s="16" t="inlineStr">
        <is>
          <t>Backtesting</t>
        </is>
      </c>
      <c r="D140" s="16" t="inlineStr">
        <is>
          <t>Backtest each method and candidate, not only the chosen one</t>
        </is>
      </c>
      <c r="E140" s="16" t="inlineStr">
        <is>
          <t>Malindu</t>
        </is>
      </c>
      <c r="F140" s="16" t="inlineStr">
        <is>
          <t>Done</t>
        </is>
      </c>
      <c r="G140" s="16" t="inlineStr">
        <is>
          <t>Weeks 2–3</t>
        </is>
      </c>
      <c r="H140" s="14" t="n"/>
      <c r="I140" s="16" t="inlineStr">
        <is>
          <t>7 methods × 6 portfolios × 95/99%, validation and test</t>
        </is>
      </c>
      <c r="J140" s="16" t="n"/>
      <c r="K140" s="16" t="inlineStr">
        <is>
          <t>7 methods × 6 portfolios × 95/99%, validation and test</t>
        </is>
      </c>
      <c r="L140" s="16" t="inlineStr">
        <is>
          <t>High</t>
        </is>
      </c>
      <c r="M140" s="16" t="inlineStr">
        <is>
          <t>T10.03</t>
        </is>
      </c>
      <c r="N140" s="16" t="inlineStr">
        <is>
          <t>REV</t>
        </is>
      </c>
    </row>
    <row r="141" ht="36.75" customHeight="1" s="36">
      <c r="A141" s="8" t="inlineStr">
        <is>
          <t>T10.09</t>
        </is>
      </c>
      <c r="B141" s="8" t="inlineStr">
        <is>
          <t>T10</t>
        </is>
      </c>
      <c r="C141" s="16" t="inlineStr">
        <is>
          <t>Backtesting</t>
        </is>
      </c>
      <c r="D141" s="16" t="inlineStr">
        <is>
          <t>Window-length sensitivity (500 vs 1000 days)</t>
        </is>
      </c>
      <c r="E141" s="16" t="inlineStr">
        <is>
          <t>Malindu</t>
        </is>
      </c>
      <c r="F141" s="16" t="inlineStr">
        <is>
          <t>Done</t>
        </is>
      </c>
      <c r="G141" s="16" t="inlineStr">
        <is>
          <t>Weeks 2–3</t>
        </is>
      </c>
      <c r="H141" s="14" t="n"/>
      <c r="I141" s="16" t="inlineStr">
        <is>
          <t>backtest_window_sensitivity.csv: 1,000 beats 500 on FZ0 for every method</t>
        </is>
      </c>
      <c r="J141" s="16" t="n"/>
      <c r="K141" s="16" t="inlineStr">
        <is>
          <t>backtest_window_sensitivity.csv: 1,000 beats 500 on FZ0 for every method</t>
        </is>
      </c>
      <c r="L141" s="16" t="inlineStr">
        <is>
          <t>Medium</t>
        </is>
      </c>
      <c r="M141" s="16" t="inlineStr">
        <is>
          <t>T10.04</t>
        </is>
      </c>
      <c r="N141" s="16" t="inlineStr">
        <is>
          <t>DEC D13</t>
        </is>
      </c>
    </row>
    <row r="142" ht="36.75" customHeight="1" s="36">
      <c r="A142" s="8" t="inlineStr">
        <is>
          <t>T10.10</t>
        </is>
      </c>
      <c r="B142" s="8" t="inlineStr">
        <is>
          <t>T10</t>
        </is>
      </c>
      <c r="C142" s="16" t="inlineStr">
        <is>
          <t>Backtesting</t>
        </is>
      </c>
      <c r="D142" s="16" t="inlineStr">
        <is>
          <t>Recompute tests for any user-selected date range (for the app)</t>
        </is>
      </c>
      <c r="E142" s="16" t="inlineStr">
        <is>
          <t>Malindu</t>
        </is>
      </c>
      <c r="F142" s="16" t="inlineStr">
        <is>
          <t>Done</t>
        </is>
      </c>
      <c r="G142" s="16" t="inlineStr">
        <is>
          <t>Weeks 2–3</t>
        </is>
      </c>
      <c r="H142" s="14" t="n"/>
      <c r="I142" s="16" t="inlineStr">
        <is>
          <t>coverage.evaluate_table(fc, start, end)</t>
        </is>
      </c>
      <c r="J142" s="16" t="n"/>
      <c r="K142" s="16" t="inlineStr">
        <is>
          <t>coverage.evaluate_table(fc, start, end)</t>
        </is>
      </c>
      <c r="L142" s="16" t="inlineStr">
        <is>
          <t>Critical</t>
        </is>
      </c>
      <c r="M142" s="16" t="inlineStr">
        <is>
          <t>T10.04–T10.06</t>
        </is>
      </c>
      <c r="N142" s="16" t="inlineStr">
        <is>
          <t>BR p.5 sidebar</t>
        </is>
      </c>
    </row>
    <row r="143" ht="36.75" customHeight="1" s="36">
      <c r="A143" s="8" t="inlineStr">
        <is>
          <t>T10.11</t>
        </is>
      </c>
      <c r="B143" s="8" t="inlineStr">
        <is>
          <t>T10</t>
        </is>
      </c>
      <c r="C143" s="16" t="inlineStr">
        <is>
          <t>Backtesting</t>
        </is>
      </c>
      <c r="D143" s="16" t="inlineStr">
        <is>
          <t>ES / tail-severity check on exceptions</t>
        </is>
      </c>
      <c r="E143" s="16" t="inlineStr">
        <is>
          <t>Malindu</t>
        </is>
      </c>
      <c r="F143" s="16" t="inlineStr">
        <is>
          <t>Done</t>
        </is>
      </c>
      <c r="G143" s="16" t="inlineStr">
        <is>
          <t>Weeks 2–3</t>
        </is>
      </c>
      <c r="H143" s="14" t="n"/>
      <c r="I143" s="16" t="inlineStr">
        <is>
          <t>severity ratio + Acerbi–Szekely Z2 per model</t>
        </is>
      </c>
      <c r="J143" s="16" t="n"/>
      <c r="K143" s="16" t="inlineStr">
        <is>
          <t>severity ratio + Acerbi–Szekely Z2 per model</t>
        </is>
      </c>
      <c r="L143" s="16" t="inlineStr">
        <is>
          <t>Medium</t>
        </is>
      </c>
      <c r="M143" s="16" t="inlineStr">
        <is>
          <t>T10.03, T7.05</t>
        </is>
      </c>
      <c r="N143" s="16" t="inlineStr">
        <is>
          <t>FJ VD03</t>
        </is>
      </c>
    </row>
    <row r="144" ht="36.75" customHeight="1" s="36">
      <c r="A144" s="8" t="inlineStr">
        <is>
          <t>T10.12</t>
        </is>
      </c>
      <c r="B144" s="8" t="inlineStr">
        <is>
          <t>T10</t>
        </is>
      </c>
      <c r="C144" s="16" t="inlineStr">
        <is>
          <t>Backtesting</t>
        </is>
      </c>
      <c r="D144" s="16" t="inlineStr">
        <is>
          <t>Out-of-sample check of D7 limits (set on train, test on held-out)</t>
        </is>
      </c>
      <c r="E144" s="16" t="inlineStr">
        <is>
          <t>Malindu</t>
        </is>
      </c>
      <c r="F144" s="16" t="inlineStr">
        <is>
          <t>Done</t>
        </is>
      </c>
      <c r="G144" s="16" t="inlineStr">
        <is>
          <t>Weeks 2–3</t>
        </is>
      </c>
      <c r="H144" s="14" t="n"/>
      <c r="I144" s="16" t="inlineStr">
        <is>
          <t>validation/limits.py → limit_stability.csv: P1-train portfolios keep every D7 limit in 2015–19 and 2020–26; 2026 D26 ES99 2.61% in 2020–26 alone (full-cycle 2.24%)</t>
        </is>
      </c>
      <c r="J144" s="16" t="n"/>
      <c r="K144" s="16" t="inlineStr">
        <is>
          <t>validation/limits.py → limit_stability.csv: P1-train portfolios keep every D7 limit in 2015–19 and 2020–26; 2026 D26 ES99 2.61% in 2020–26 alone (full-cycle 2.24%)</t>
        </is>
      </c>
      <c r="L144" s="16" t="inlineStr">
        <is>
          <t>High</t>
        </is>
      </c>
      <c r="M144" s="16" t="inlineStr">
        <is>
          <t>T2.13</t>
        </is>
      </c>
      <c r="N144" s="16" t="inlineStr">
        <is>
          <t>Research gap G8</t>
        </is>
      </c>
    </row>
    <row r="145" ht="36.75" customHeight="1" s="36">
      <c r="A145" s="8" t="inlineStr">
        <is>
          <t>T11.01</t>
        </is>
      </c>
      <c r="B145" s="8" t="inlineStr">
        <is>
          <t>T11</t>
        </is>
      </c>
      <c r="C145" s="16" t="inlineStr">
        <is>
          <t>Stress testing</t>
        </is>
      </c>
      <c r="D145" s="16" t="inlineStr">
        <is>
          <t>Define precise 2008, COVID 2020 and 2022 periods</t>
        </is>
      </c>
      <c r="E145" s="16" t="inlineStr">
        <is>
          <t>Dewmini</t>
        </is>
      </c>
      <c r="F145" s="16" t="inlineStr">
        <is>
          <t>Done</t>
        </is>
      </c>
      <c r="G145" s="16" t="inlineStr">
        <is>
          <t>Weeks 2–3</t>
        </is>
      </c>
      <c r="H145" s="14" t="n"/>
      <c r="I145" s="16" t="inlineStr">
        <is>
          <t>config stress.windows: GFC, taper 2013, COVID, 2022 (S&amp;P peak/trough dates)</t>
        </is>
      </c>
      <c r="J145" s="16" t="n"/>
      <c r="K145" s="16" t="inlineStr">
        <is>
          <t>config stress.windows: GFC, taper 2013, COVID, 2022 (S&amp;P peak/trough dates)</t>
        </is>
      </c>
      <c r="L145" s="16" t="inlineStr">
        <is>
          <t>Critical</t>
        </is>
      </c>
      <c r="M145" s="16" t="inlineStr">
        <is>
          <t>—</t>
        </is>
      </c>
      <c r="N145" s="16" t="inlineStr">
        <is>
          <t>PM · BR p.8 · windows used in scripts/research_d3_d7.py; confirm in D9/T11</t>
        </is>
      </c>
    </row>
    <row r="146" ht="36.75" customHeight="1" s="36">
      <c r="A146" s="8" t="inlineStr">
        <is>
          <t>T11.02</t>
        </is>
      </c>
      <c r="B146" s="8" t="inlineStr">
        <is>
          <t>T11</t>
        </is>
      </c>
      <c r="C146" s="16" t="inlineStr">
        <is>
          <t>Stress testing</t>
        </is>
      </c>
      <c r="D146" s="16" t="inlineStr">
        <is>
          <t>Recalculate portfolio performance in historical windows</t>
        </is>
      </c>
      <c r="E146" s="16" t="inlineStr">
        <is>
          <t>Dewmini</t>
        </is>
      </c>
      <c r="F146" s="16" t="inlineStr">
        <is>
          <t>Done</t>
        </is>
      </c>
      <c r="G146" s="16" t="inlineStr">
        <is>
          <t>Weeks 2–3</t>
        </is>
      </c>
      <c r="H146" s="14" t="n"/>
      <c r="I146" s="16" t="inlineStr">
        <is>
          <t>stress.replay → stress_results.csv (window loss, worst day, recovery)</t>
        </is>
      </c>
      <c r="J146" s="16" t="n"/>
      <c r="K146" s="16" t="inlineStr">
        <is>
          <t>stress.replay → stress_results.csv (window loss, worst day, recovery)</t>
        </is>
      </c>
      <c r="L146" s="16" t="inlineStr">
        <is>
          <t>Critical</t>
        </is>
      </c>
      <c r="M146" s="16" t="inlineStr">
        <is>
          <t>T11.01, T4.16</t>
        </is>
      </c>
      <c r="N146" s="16" t="inlineStr">
        <is>
          <t>PM · FJ VD04</t>
        </is>
      </c>
    </row>
    <row r="147" ht="36.75" customHeight="1" s="36">
      <c r="A147" s="8" t="inlineStr">
        <is>
          <t>T11.03</t>
        </is>
      </c>
      <c r="B147" s="8" t="inlineStr">
        <is>
          <t>T11</t>
        </is>
      </c>
      <c r="C147" s="16" t="inlineStr">
        <is>
          <t>Stress testing</t>
        </is>
      </c>
      <c r="D147" s="16" t="inlineStr">
        <is>
          <t>Design one plausible hypothetical macro/market shock</t>
        </is>
      </c>
      <c r="E147" s="16" t="inlineStr">
        <is>
          <t>Dewmini</t>
        </is>
      </c>
      <c r="F147" s="16" t="inlineStr">
        <is>
          <t>Done</t>
        </is>
      </c>
      <c r="G147" s="16" t="inlineStr">
        <is>
          <t>Weeks 2–3</t>
        </is>
      </c>
      <c r="H147" s="14" t="n"/>
      <c r="I147" s="16" t="inlineStr">
        <is>
          <t>D9 APPROVED: stagflation SPY −25%, 10y +200bp, BE +100bp (+ oil/gold variant); D26 loss 16.7%</t>
        </is>
      </c>
      <c r="J147" s="16" t="n"/>
      <c r="K147" s="16" t="inlineStr">
        <is>
          <t>D9 APPROVED: stagflation SPY −25%, 10y +200bp, BE +100bp (+ oil/gold variant); D26 loss 16.7%</t>
        </is>
      </c>
      <c r="L147" s="16" t="inlineStr">
        <is>
          <t>Critical</t>
        </is>
      </c>
      <c r="M147" s="16" t="inlineStr">
        <is>
          <t>T1.08 (D9)</t>
        </is>
      </c>
      <c r="N147" s="16" t="inlineStr">
        <is>
          <t>PM · BR p.8</t>
        </is>
      </c>
    </row>
    <row r="148" ht="36.75" customHeight="1" s="36">
      <c r="A148" s="8" t="inlineStr">
        <is>
          <t>T11.04</t>
        </is>
      </c>
      <c r="B148" s="8" t="inlineStr">
        <is>
          <t>T11</t>
        </is>
      </c>
      <c r="C148" s="16" t="inlineStr">
        <is>
          <t>Stress testing</t>
        </is>
      </c>
      <c r="D148" s="16" t="inlineStr">
        <is>
          <t>Estimate ETF reactions and document assumptions</t>
        </is>
      </c>
      <c r="E148" s="16" t="inlineStr">
        <is>
          <t>Dewmini</t>
        </is>
      </c>
      <c r="F148" s="16" t="inlineStr">
        <is>
          <t>Done</t>
        </is>
      </c>
      <c r="G148" s="16" t="inlineStr">
        <is>
          <t>Weeks 2–3</t>
        </is>
      </c>
      <c r="H148" s="14" t="n"/>
      <c r="I148" s="16" t="inlineStr">
        <is>
          <t>stress.factor_betas (SPY, Δ10y, Δbreakeven; monthly OLS) → stress_factor_betas.csv</t>
        </is>
      </c>
      <c r="J148" s="16" t="n"/>
      <c r="K148" s="16" t="inlineStr">
        <is>
          <t>stress.factor_betas (SPY, Δ10y, Δbreakeven; monthly OLS) → stress_factor_betas.csv</t>
        </is>
      </c>
      <c r="L148" s="16" t="inlineStr">
        <is>
          <t>Critical</t>
        </is>
      </c>
      <c r="M148" s="16" t="inlineStr">
        <is>
          <t>T11.03, T2.09</t>
        </is>
      </c>
      <c r="N148" s="16" t="inlineStr">
        <is>
          <t>PM</t>
        </is>
      </c>
    </row>
    <row r="149" ht="36.75" customHeight="1" s="36">
      <c r="A149" s="8" t="inlineStr">
        <is>
          <t>T11.05</t>
        </is>
      </c>
      <c r="B149" s="8" t="inlineStr">
        <is>
          <t>T11</t>
        </is>
      </c>
      <c r="C149" s="16" t="inlineStr">
        <is>
          <t>Stress testing</t>
        </is>
      </c>
      <c r="D149" s="16" t="inlineStr">
        <is>
          <t>Summarize losses, vulnerabilities and possible adjustments</t>
        </is>
      </c>
      <c r="E149" s="16" t="inlineStr">
        <is>
          <t>Dewmini</t>
        </is>
      </c>
      <c r="F149" s="16" t="inlineStr">
        <is>
          <t>Done</t>
        </is>
      </c>
      <c r="G149" s="16" t="inlineStr">
        <is>
          <t>Weeks 2–3</t>
        </is>
      </c>
      <c r="H149" s="14" t="n"/>
      <c r="I149" s="16" t="inlineStr">
        <is>
          <t>research doc T11 §2–4 (% NAV and USD)</t>
        </is>
      </c>
      <c r="J149" s="16" t="n"/>
      <c r="K149" s="16" t="inlineStr">
        <is>
          <t>research doc T11 §2–4 (% NAV and USD)</t>
        </is>
      </c>
      <c r="L149" s="16" t="inlineStr">
        <is>
          <t>Critical</t>
        </is>
      </c>
      <c r="M149" s="16" t="inlineStr">
        <is>
          <t>T11.02, T11.04</t>
        </is>
      </c>
      <c r="N149" s="16" t="inlineStr">
        <is>
          <t>PM · FJ VD06</t>
        </is>
      </c>
    </row>
    <row r="150" ht="36.75" customHeight="1" s="36">
      <c r="A150" s="8" t="inlineStr">
        <is>
          <t>T11.06</t>
        </is>
      </c>
      <c r="B150" s="8" t="inlineStr">
        <is>
          <t>T11</t>
        </is>
      </c>
      <c r="C150" s="16" t="inlineStr">
        <is>
          <t>Stress testing</t>
        </is>
      </c>
      <c r="D150" s="16" t="inlineStr">
        <is>
          <t>Asset-level stress attribution: which ETFs drive the loss</t>
        </is>
      </c>
      <c r="E150" s="16" t="inlineStr">
        <is>
          <t>Dewmini</t>
        </is>
      </c>
      <c r="F150" s="16" t="inlineStr">
        <is>
          <t>Done</t>
        </is>
      </c>
      <c r="G150" s="16" t="inlineStr">
        <is>
          <t>Weeks 2–3</t>
        </is>
      </c>
      <c r="H150" s="14" t="n"/>
      <c r="I150" s="16" t="inlineStr">
        <is>
          <t>stress_contributions.csv: GFC SPY −10.7pp, AGG +4.2pp; 2022 AGG −8.7pp</t>
        </is>
      </c>
      <c r="J150" s="16" t="n"/>
      <c r="K150" s="16" t="inlineStr">
        <is>
          <t>stress_contributions.csv: GFC SPY −10.7pp, AGG +4.2pp; 2022 AGG −8.7pp</t>
        </is>
      </c>
      <c r="L150" s="16" t="inlineStr">
        <is>
          <t>High</t>
        </is>
      </c>
      <c r="M150" s="16" t="inlineStr">
        <is>
          <t>T11.05</t>
        </is>
      </c>
      <c r="N150" s="16" t="inlineStr">
        <is>
          <t>FJ VD06 joint-loss</t>
        </is>
      </c>
    </row>
    <row r="151" ht="36.75" customHeight="1" s="36">
      <c r="A151" s="8" t="inlineStr">
        <is>
          <t>T11.07</t>
        </is>
      </c>
      <c r="B151" s="8" t="inlineStr">
        <is>
          <t>T11</t>
        </is>
      </c>
      <c r="C151" s="16" t="inlineStr">
        <is>
          <t>Stress testing</t>
        </is>
      </c>
      <c r="D151" s="16" t="inlineStr">
        <is>
          <t>Correlation / joint losses under stress vs calm</t>
        </is>
      </c>
      <c r="E151" s="16" t="inlineStr">
        <is>
          <t>Dewmini</t>
        </is>
      </c>
      <c r="F151" s="16" t="inlineStr">
        <is>
          <t>Done</t>
        </is>
      </c>
      <c r="G151" s="16" t="inlineStr">
        <is>
          <t>Weeks 2–3</t>
        </is>
      </c>
      <c r="H151" s="14" t="n"/>
      <c r="I151" s="16" t="inlineStr">
        <is>
          <t>stress_correlations.csv: SPY–EFA 0.85→0.93, SPY–AGG −0.05→+0.06</t>
        </is>
      </c>
      <c r="J151" s="16" t="n"/>
      <c r="K151" s="16" t="inlineStr">
        <is>
          <t>stress_correlations.csv: SPY–EFA 0.85→0.93, SPY–AGG −0.05→+0.06</t>
        </is>
      </c>
      <c r="L151" s="16" t="inlineStr">
        <is>
          <t>High</t>
        </is>
      </c>
      <c r="M151" s="16" t="inlineStr">
        <is>
          <t>T11.02</t>
        </is>
      </c>
      <c r="N151" s="16" t="inlineStr">
        <is>
          <t>FJ joint-loss stress</t>
        </is>
      </c>
    </row>
    <row r="152" ht="36.75" customHeight="1" s="36">
      <c r="A152" s="8" t="inlineStr">
        <is>
          <t>T11.08</t>
        </is>
      </c>
      <c r="B152" s="8" t="inlineStr">
        <is>
          <t>T11</t>
        </is>
      </c>
      <c r="C152" s="16" t="inlineStr">
        <is>
          <t>Stress testing</t>
        </is>
      </c>
      <c r="D152" s="16" t="inlineStr">
        <is>
          <t>AGG rate sensitivity estimated from DGS10 (no external duration data)</t>
        </is>
      </c>
      <c r="E152" s="16" t="inlineStr">
        <is>
          <t>Dewmini</t>
        </is>
      </c>
      <c r="F152" s="16" t="inlineStr">
        <is>
          <t>Done</t>
        </is>
      </c>
      <c r="G152" s="16" t="inlineStr">
        <is>
          <t>Weeks 2–3</t>
        </is>
      </c>
      <c r="H152" s="14" t="n"/>
      <c r="I152" s="16" t="inlineStr">
        <is>
          <t>AGG β to 10y = −0.049/pp (≈5y duration)</t>
        </is>
      </c>
      <c r="J152" s="16" t="n"/>
      <c r="K152" s="16" t="inlineStr">
        <is>
          <t>AGG β to 10y = −0.049/pp (≈5y duration)</t>
        </is>
      </c>
      <c r="L152" s="16" t="inlineStr">
        <is>
          <t>Medium</t>
        </is>
      </c>
      <c r="M152" s="16" t="inlineStr">
        <is>
          <t>T2.09</t>
        </is>
      </c>
      <c r="N152" s="16" t="inlineStr">
        <is>
          <t>FJ AGG rate-risk · REV</t>
        </is>
      </c>
    </row>
    <row r="153" ht="36.75" customHeight="1" s="36">
      <c r="A153" s="8" t="inlineStr">
        <is>
          <t>T11.09</t>
        </is>
      </c>
      <c r="B153" s="8" t="inlineStr">
        <is>
          <t>T11</t>
        </is>
      </c>
      <c r="C153" s="16" t="inlineStr">
        <is>
          <t>Stress testing</t>
        </is>
      </c>
      <c r="D153" s="16" t="inlineStr">
        <is>
          <t>ETF liquidity under stress (e.g. AGG −7.1% on 2008-10-10)</t>
        </is>
      </c>
      <c r="E153" s="16" t="inlineStr">
        <is>
          <t>Dewmini</t>
        </is>
      </c>
      <c r="F153" s="16" t="inlineStr">
        <is>
          <t>Done</t>
        </is>
      </c>
      <c r="G153" s="16" t="inlineStr">
        <is>
          <t>Weeks 2–3</t>
        </is>
      </c>
      <c r="H153" s="14" t="n"/>
      <c r="I153" s="16" t="inlineStr">
        <is>
          <t>AGG −6.8% 2008-10-10, −4.0% 2020-03-12: liquidity note in T11 §3</t>
        </is>
      </c>
      <c r="J153" s="16" t="n"/>
      <c r="K153" s="16" t="inlineStr">
        <is>
          <t>AGG −6.8% 2008-10-10, −4.0% 2020-03-12: liquidity note in T11 §3</t>
        </is>
      </c>
      <c r="L153" s="16" t="inlineStr">
        <is>
          <t>Medium</t>
        </is>
      </c>
      <c r="M153" s="16" t="inlineStr">
        <is>
          <t>T2.11</t>
        </is>
      </c>
      <c r="N153" s="16" t="inlineStr">
        <is>
          <t>FJ exit gate · REV</t>
        </is>
      </c>
    </row>
    <row r="154" ht="36.75" customHeight="1" s="36">
      <c r="A154" s="8" t="inlineStr">
        <is>
          <t>T11.10</t>
        </is>
      </c>
      <c r="B154" s="8" t="inlineStr">
        <is>
          <t>T11</t>
        </is>
      </c>
      <c r="C154" s="16" t="inlineStr">
        <is>
          <t>Stress testing</t>
        </is>
      </c>
      <c r="D154" s="16" t="inlineStr">
        <is>
          <t>Check every scenario against client risk limits</t>
        </is>
      </c>
      <c r="E154" s="16" t="inlineStr">
        <is>
          <t>Dewmini</t>
        </is>
      </c>
      <c r="F154" s="16" t="inlineStr">
        <is>
          <t>Done</t>
        </is>
      </c>
      <c r="G154" s="16" t="inlineStr">
        <is>
          <t>Weeks 2–3</t>
        </is>
      </c>
      <c r="H154" s="14" t="n"/>
      <c r="I154" s="16" t="inlineStr">
        <is>
          <t>breach_table: no breach; GFC binding (24.5% vs 25%)</t>
        </is>
      </c>
      <c r="J154" s="16" t="n"/>
      <c r="K154" s="16" t="inlineStr">
        <is>
          <t>breach_table: no breach; GFC binding (24.5% vs 25%)</t>
        </is>
      </c>
      <c r="L154" s="16" t="inlineStr">
        <is>
          <t>Critical</t>
        </is>
      </c>
      <c r="M154" s="16" t="inlineStr">
        <is>
          <t>T11.05, T3.04</t>
        </is>
      </c>
      <c r="N154" s="16" t="inlineStr">
        <is>
          <t>FJ VD06</t>
        </is>
      </c>
    </row>
    <row r="155" ht="36.75" customHeight="1" s="36">
      <c r="A155" s="8" t="inlineStr">
        <is>
          <t>T11.11</t>
        </is>
      </c>
      <c r="B155" s="8" t="inlineStr">
        <is>
          <t>T11</t>
        </is>
      </c>
      <c r="C155" s="16" t="inlineStr">
        <is>
          <t>Stress testing</t>
        </is>
      </c>
      <c r="D155" s="16" t="inlineStr">
        <is>
          <t>Optional: longer-history crises via disclosed proxies (2000–02, 1994)</t>
        </is>
      </c>
      <c r="E155" s="16" t="inlineStr">
        <is>
          <t>Dewmini</t>
        </is>
      </c>
      <c r="F155" s="16" t="inlineStr">
        <is>
          <t>Not Started</t>
        </is>
      </c>
      <c r="G155" s="16" t="inlineStr">
        <is>
          <t>Weeks 2–3</t>
        </is>
      </c>
      <c r="H155" s="14" t="n"/>
      <c r="I155" s="16" t="n"/>
      <c r="J155" s="16" t="n"/>
      <c r="K155" s="16" t="inlineStr">
        <is>
          <t>Proxy scenario losses</t>
        </is>
      </c>
      <c r="L155" s="16" t="inlineStr">
        <is>
          <t>Low</t>
        </is>
      </c>
      <c r="M155" s="16" t="inlineStr">
        <is>
          <t>T11.02</t>
        </is>
      </c>
      <c r="N155" s="16" t="inlineStr">
        <is>
          <t>Research gap G2</t>
        </is>
      </c>
    </row>
    <row r="156" ht="36.75" customHeight="1" s="36">
      <c r="A156" s="8" t="inlineStr">
        <is>
          <t>T11.12</t>
        </is>
      </c>
      <c r="B156" s="8" t="inlineStr">
        <is>
          <t>T11</t>
        </is>
      </c>
      <c r="C156" s="16" t="inlineStr">
        <is>
          <t>Stress testing</t>
        </is>
      </c>
      <c r="D156" s="16" t="inlineStr">
        <is>
          <t>Research current macro/market vulnerabilities (oil, Fed, yields, credit, USD, AI valuations, stock–bond correlation)</t>
        </is>
      </c>
      <c r="E156" s="16" t="inlineStr">
        <is>
          <t>Dewmini</t>
        </is>
      </c>
      <c r="F156" s="16" t="inlineStr">
        <is>
          <t>Done</t>
        </is>
      </c>
      <c r="G156" s="16" t="inlineStr">
        <is>
          <t>Weeks 2–3</t>
        </is>
      </c>
      <c r="H156" s="14" t="n"/>
      <c r="I156" s="16" t="inlineStr">
        <is>
          <t>Design report §1 (tagged V/H/F/N/A, sources dated)</t>
        </is>
      </c>
      <c r="J156" s="16" t="n"/>
      <c r="K156" s="16" t="inlineStr">
        <is>
          <t>Design report §1 (tagged V/H/F/N/A, sources dated)</t>
        </is>
      </c>
      <c r="L156" s="16" t="inlineStr">
        <is>
          <t>Critical</t>
        </is>
      </c>
      <c r="M156" s="16" t="inlineStr">
        <is>
          <t>T11.03</t>
        </is>
      </c>
      <c r="N156" s="16" t="inlineStr">
        <is>
          <t>User brief 2026-10-29</t>
        </is>
      </c>
    </row>
    <row r="157" ht="36.75" customHeight="1" s="36">
      <c r="A157" s="8" t="inlineStr">
        <is>
          <t>T11.13</t>
        </is>
      </c>
      <c r="B157" s="8" t="inlineStr">
        <is>
          <t>T11</t>
        </is>
      </c>
      <c r="C157" s="16" t="inlineStr">
        <is>
          <t>Stress testing</t>
        </is>
      </c>
      <c r="D157" s="16" t="inlineStr">
        <is>
          <t>Compare candidate hypothetical scenarios (energy stagflation, AI unwind/recession, term premium, EM/USD)</t>
        </is>
      </c>
      <c r="E157" s="16" t="inlineStr">
        <is>
          <t>Dewmini</t>
        </is>
      </c>
      <c r="F157" s="16" t="inlineStr">
        <is>
          <t>Done</t>
        </is>
      </c>
      <c r="G157" s="16" t="inlineStr">
        <is>
          <t>Weeks 2–3</t>
        </is>
      </c>
      <c r="H157" s="14" t="n"/>
      <c r="I157" s="16" t="inlineStr">
        <is>
          <t>Design report §2 + recommendation</t>
        </is>
      </c>
      <c r="J157" s="16" t="n"/>
      <c r="K157" s="16" t="inlineStr">
        <is>
          <t>Design report §2 + recommendation</t>
        </is>
      </c>
      <c r="L157" s="16" t="inlineStr">
        <is>
          <t>Critical</t>
        </is>
      </c>
      <c r="M157" s="16" t="inlineStr">
        <is>
          <t>T11.12</t>
        </is>
      </c>
      <c r="N157" s="16" t="inlineStr">
        <is>
          <t>User brief</t>
        </is>
      </c>
    </row>
    <row r="158" ht="36.75" customHeight="1" s="36">
      <c r="A158" s="8" t="inlineStr">
        <is>
          <t>T11.14</t>
        </is>
      </c>
      <c r="B158" s="8" t="inlineStr">
        <is>
          <t>T11</t>
        </is>
      </c>
      <c r="C158" s="16" t="inlineStr">
        <is>
          <t>Stress testing</t>
        </is>
      </c>
      <c r="D158" s="16" t="inlineStr">
        <is>
          <t>Download and disclose new FRED stress factors (DFII10, BAA10Y, Brent/WTI, DTWEXBGS, VIXCLS, DGS2)</t>
        </is>
      </c>
      <c r="E158" s="16" t="inlineStr">
        <is>
          <t>Dewmini</t>
        </is>
      </c>
      <c r="F158" s="16" t="inlineStr">
        <is>
          <t>Done</t>
        </is>
      </c>
      <c r="G158" s="16" t="inlineStr">
        <is>
          <t>Weeks 2–3</t>
        </is>
      </c>
      <c r="H158" s="14" t="n"/>
      <c r="I158" s="16" t="inlineStr">
        <is>
          <t>7 FRED stress factors in config + data stage → stress_factors_monthly.csv; disclosed in README and data/README</t>
        </is>
      </c>
      <c r="J158" s="16" t="n"/>
      <c r="K158" s="16" t="inlineStr">
        <is>
          <t>7 FRED stress factors in config + data stage → stress_factors_monthly.csv; disclosed in README and data/README</t>
        </is>
      </c>
      <c r="L158" s="16" t="inlineStr">
        <is>
          <t>High</t>
        </is>
      </c>
      <c r="M158" s="16" t="inlineStr">
        <is>
          <t>T2.09</t>
        </is>
      </c>
      <c r="N158" s="16" t="inlineStr">
        <is>
          <t>Snapshots saved 2026-10-29; pipeline wiring pending</t>
        </is>
      </c>
    </row>
    <row r="159" ht="36.75" customHeight="1" s="36">
      <c r="A159" s="8" t="inlineStr">
        <is>
          <t>T11.15</t>
        </is>
      </c>
      <c r="B159" s="8" t="inlineStr">
        <is>
          <t>T11</t>
        </is>
      </c>
      <c r="C159" s="16" t="inlineStr">
        <is>
          <t>Stress testing</t>
        </is>
      </c>
      <c r="D159" s="16" t="inlineStr">
        <is>
          <t>Calibrate central and severe factor shocks from history, current levels and published scenarios</t>
        </is>
      </c>
      <c r="E159" s="16" t="inlineStr">
        <is>
          <t>Dewmini</t>
        </is>
      </c>
      <c r="F159" s="16" t="inlineStr">
        <is>
          <t>Done</t>
        </is>
      </c>
      <c r="G159" s="16" t="inlineStr">
        <is>
          <t>Weeks 2–3</t>
        </is>
      </c>
      <c r="H159" s="14" t="n"/>
      <c r="I159" s="16" t="inlineStr">
        <is>
          <t>D9 v2 APPROVED 2026-10-29; config stress.hypothetical</t>
        </is>
      </c>
      <c r="J159" s="16" t="n"/>
      <c r="K159" s="16" t="inlineStr">
        <is>
          <t>D9 v2 APPROVED 2026-10-29; config stress.hypothetical</t>
        </is>
      </c>
      <c r="L159" s="16" t="inlineStr">
        <is>
          <t>Critical</t>
        </is>
      </c>
      <c r="M159" s="16" t="inlineStr">
        <is>
          <t>T11.12</t>
        </is>
      </c>
      <c r="N159" s="16" t="inlineStr">
        <is>
          <t>Awaiting D9 v2 approval</t>
        </is>
      </c>
    </row>
    <row r="160" ht="36.75" customHeight="1" s="36">
      <c r="A160" s="8" t="inlineStr">
        <is>
          <t>T11.16</t>
        </is>
      </c>
      <c r="B160" s="8" t="inlineStr">
        <is>
          <t>T11</t>
        </is>
      </c>
      <c r="C160" s="16" t="inlineStr">
        <is>
          <t>Stress testing</t>
        </is>
      </c>
      <c r="D160" s="16" t="inlineStr">
        <is>
          <t>Six-factor ETF response model: full vs stress betas, SEs; reject unconditional oil→equity mapping</t>
        </is>
      </c>
      <c r="E160" s="16" t="inlineStr">
        <is>
          <t>Dewmini</t>
        </is>
      </c>
      <c r="F160" s="16" t="inlineStr">
        <is>
          <t>Done</t>
        </is>
      </c>
      <c r="G160" s="16" t="inlineStr">
        <is>
          <t>Weeks 2–3</t>
        </is>
      </c>
      <c r="H160" s="14" t="n"/>
      <c r="I160" s="16" t="inlineStr">
        <is>
          <t>Design report §4.3</t>
        </is>
      </c>
      <c r="J160" s="16" t="n"/>
      <c r="K160" s="16" t="inlineStr">
        <is>
          <t>Design report §4.3</t>
        </is>
      </c>
      <c r="L160" s="16" t="inlineStr">
        <is>
          <t>Critical</t>
        </is>
      </c>
      <c r="M160" s="16" t="inlineStr">
        <is>
          <t>T11.14</t>
        </is>
      </c>
      <c r="N160" s="16" t="inlineStr">
        <is>
          <t>Research script; module pending</t>
        </is>
      </c>
    </row>
    <row r="161" ht="36.75" customHeight="1" s="36">
      <c r="A161" s="8" t="inlineStr">
        <is>
          <t>T11.17</t>
        </is>
      </c>
      <c r="B161" s="8" t="inlineStr">
        <is>
          <t>T11</t>
        </is>
      </c>
      <c r="C161" s="16" t="inlineStr">
        <is>
          <t>Stress testing</t>
        </is>
      </c>
      <c r="D161" s="16" t="inlineStr">
        <is>
          <t>Validate factor model by back-casting six episodes (2008, 2020, 2022, Mar 2026)</t>
        </is>
      </c>
      <c r="E161" s="16" t="inlineStr">
        <is>
          <t>Dewmini</t>
        </is>
      </c>
      <c r="F161" s="16" t="inlineStr">
        <is>
          <t>Done</t>
        </is>
      </c>
      <c r="G161" s="16" t="inlineStr">
        <is>
          <t>Weeks 2–3</t>
        </is>
      </c>
      <c r="H161" s="14" t="n"/>
      <c r="I161" s="16" t="inlineStr">
        <is>
          <t>Back-cast table; XLE/GLD flagged unreliable</t>
        </is>
      </c>
      <c r="J161" s="16" t="n"/>
      <c r="K161" s="16" t="inlineStr">
        <is>
          <t>Back-cast table; XLE/GLD flagged unreliable</t>
        </is>
      </c>
      <c r="L161" s="16" t="inlineStr">
        <is>
          <t>High</t>
        </is>
      </c>
      <c r="M161" s="16" t="inlineStr">
        <is>
          <t>T11.16</t>
        </is>
      </c>
      <c r="N161" s="16" t="inlineStr">
        <is>
          <t>Research script; test pending</t>
        </is>
      </c>
    </row>
    <row r="162" ht="36.75" customHeight="1" s="36">
      <c r="A162" s="8" t="inlineStr">
        <is>
          <t>T11.18</t>
        </is>
      </c>
      <c r="B162" s="8" t="inlineStr">
        <is>
          <t>T11</t>
        </is>
      </c>
      <c r="C162" s="16" t="inlineStr">
        <is>
          <t>Stress testing</t>
        </is>
      </c>
      <c r="D162" s="16" t="inlineStr">
        <is>
          <t>Implement validation/hypothetical.py (panel, betas, back-cast, shocks, instant impact)</t>
        </is>
      </c>
      <c r="E162" s="16" t="inlineStr">
        <is>
          <t>Dewmini</t>
        </is>
      </c>
      <c r="F162" s="16" t="inlineStr">
        <is>
          <t>Done</t>
        </is>
      </c>
      <c r="G162" s="16" t="inlineStr">
        <is>
          <t>Weeks 2–3</t>
        </is>
      </c>
      <c r="H162" s="14" t="n"/>
      <c r="I162" s="16" t="inlineStr">
        <is>
          <t>validation/hypothetical.py + run_hypothetical; 10 tests; stress_hyp_*.csv</t>
        </is>
      </c>
      <c r="J162" s="16" t="n"/>
      <c r="K162" s="16" t="inlineStr">
        <is>
          <t>validation/hypothetical.py + run_hypothetical; 10 tests; stress_hyp_*.csv</t>
        </is>
      </c>
      <c r="L162" s="16" t="inlineStr">
        <is>
          <t>Critical</t>
        </is>
      </c>
      <c r="M162" s="16" t="inlineStr">
        <is>
          <t>D9 v2</t>
        </is>
      </c>
      <c r="N162" s="16" t="inlineStr">
        <is>
          <t>Design report §8</t>
        </is>
      </c>
    </row>
    <row r="163" ht="36.75" customHeight="1" s="36">
      <c r="A163" s="8" t="inlineStr">
        <is>
          <t>T11.19</t>
        </is>
      </c>
      <c r="B163" s="8" t="inlineStr">
        <is>
          <t>T11</t>
        </is>
      </c>
      <c r="C163" s="16" t="inlineStr">
        <is>
          <t>Stress testing</t>
        </is>
      </c>
      <c r="D163" s="16" t="inlineStr">
        <is>
          <t>12-month scenario path: quarterly rebalancing, costs, D24 spending, liquidity</t>
        </is>
      </c>
      <c r="E163" s="16" t="inlineStr">
        <is>
          <t>Dewmini</t>
        </is>
      </c>
      <c r="F163" s="16" t="inlineStr">
        <is>
          <t>Done</t>
        </is>
      </c>
      <c r="G163" s="16" t="inlineStr">
        <is>
          <t>Weeks 2–3</t>
        </is>
      </c>
      <c r="H163" s="14" t="n"/>
      <c r="I163" s="16" t="inlineStr">
        <is>
          <t>stress_hyp_paths.csv: A severe worst −19.3%, spending $399k (−6.7% real), AGG 12 yrs of spending</t>
        </is>
      </c>
      <c r="J163" s="16" t="n"/>
      <c r="K163" s="16" t="inlineStr">
        <is>
          <t>stress_hyp_paths.csv: A severe worst −19.3%, spending $399k (−6.7% real), AGG 12 yrs of spending</t>
        </is>
      </c>
      <c r="L163" s="16" t="inlineStr">
        <is>
          <t>High</t>
        </is>
      </c>
      <c r="M163" s="16" t="inlineStr">
        <is>
          <t>T11.18</t>
        </is>
      </c>
      <c r="N163" s="16" t="inlineStr">
        <is>
          <t>Prototype in design report §6.2</t>
        </is>
      </c>
    </row>
    <row r="164" ht="36.75" customHeight="1" s="36">
      <c r="A164" s="8" t="inlineStr">
        <is>
          <t>T11.20</t>
        </is>
      </c>
      <c r="B164" s="8" t="inlineStr">
        <is>
          <t>T11</t>
        </is>
      </c>
      <c r="C164" s="16" t="inlineStr">
        <is>
          <t>Stress testing</t>
        </is>
      </c>
      <c r="D164" s="16" t="inlineStr">
        <is>
          <t>Robustness: Monte Carlo over shock ranges and beta SEs; one-at-a-time; XLE/GLD variants</t>
        </is>
      </c>
      <c r="E164" s="16" t="inlineStr">
        <is>
          <t>Dewmini</t>
        </is>
      </c>
      <c r="F164" s="16" t="inlineStr">
        <is>
          <t>Done</t>
        </is>
      </c>
      <c r="G164" s="16" t="inlineStr">
        <is>
          <t>Weeks 2–3</t>
        </is>
      </c>
      <c r="H164" s="14" t="n"/>
      <c r="I164" s="16" t="inlineStr">
        <is>
          <t>stress_hyp_sensitivity.csv: MC 99th pct 16.1%; SPY ×1.5 → 25.7% (only breach)</t>
        </is>
      </c>
      <c r="J164" s="16" t="n"/>
      <c r="K164" s="16" t="inlineStr">
        <is>
          <t>stress_hyp_sensitivity.csv: MC 99th pct 16.1%; SPY ×1.5 → 25.7% (only breach)</t>
        </is>
      </c>
      <c r="L164" s="16" t="inlineStr">
        <is>
          <t>High</t>
        </is>
      </c>
      <c r="M164" s="16" t="inlineStr">
        <is>
          <t>T11.18</t>
        </is>
      </c>
      <c r="N164" s="16" t="inlineStr">
        <is>
          <t>Prototype in design report §7</t>
        </is>
      </c>
    </row>
    <row r="165" ht="36.75" customHeight="1" s="36">
      <c r="A165" s="8" t="inlineStr">
        <is>
          <t>T11.21</t>
        </is>
      </c>
      <c r="B165" s="8" t="inlineStr">
        <is>
          <t>T11</t>
        </is>
      </c>
      <c r="C165" s="16" t="inlineStr">
        <is>
          <t>Stress testing</t>
        </is>
      </c>
      <c r="D165" s="16" t="inlineStr">
        <is>
          <t>Scenario-conditional VaR (GARCH-EVT scaled by stressed volatility) vs D7/D23 triggers</t>
        </is>
      </c>
      <c r="E165" s="16" t="inlineStr">
        <is>
          <t>Dewmini</t>
        </is>
      </c>
      <c r="F165" s="16" t="inlineStr">
        <is>
          <t>Done</t>
        </is>
      </c>
      <c r="G165" s="16" t="inlineStr">
        <is>
          <t>Weeks 2–3</t>
        </is>
      </c>
      <c r="H165" s="14" t="n"/>
      <c r="I165" s="16" t="inlineStr">
        <is>
          <t>scenario VaR99 2.38% (A severe) &gt; 1.7% → D23 review; explained vs multi-month loss</t>
        </is>
      </c>
      <c r="J165" s="16" t="n"/>
      <c r="K165" s="16" t="inlineStr">
        <is>
          <t>scenario VaR99 2.38% (A severe) &gt; 1.7% → D23 review; explained vs multi-month loss</t>
        </is>
      </c>
      <c r="L165" s="16" t="inlineStr">
        <is>
          <t>Medium</t>
        </is>
      </c>
      <c r="M165" s="16" t="inlineStr">
        <is>
          <t>T11.18, T10.07</t>
        </is>
      </c>
      <c r="N165" s="16" t="inlineStr">
        <is>
          <t>Design report §6.3</t>
        </is>
      </c>
    </row>
    <row r="166" ht="36.75" customHeight="1" s="36">
      <c r="A166" s="8" t="inlineStr">
        <is>
          <t>T11.22</t>
        </is>
      </c>
      <c r="B166" s="8" t="inlineStr">
        <is>
          <t>T11</t>
        </is>
      </c>
      <c r="C166" s="16" t="inlineStr">
        <is>
          <t>Stress testing</t>
        </is>
      </c>
      <c r="D166" s="16" t="inlineStr">
        <is>
          <t>Stress page: scenario/severity selector, factor sliders, contribution waterfall, path chart</t>
        </is>
      </c>
      <c r="E166" s="16" t="inlineStr">
        <is>
          <t>Dewmini</t>
        </is>
      </c>
      <c r="F166" s="16" t="inlineStr">
        <is>
          <t>Done</t>
        </is>
      </c>
      <c r="G166" s="16" t="inlineStr">
        <is>
          <t>Weeks 2–3</t>
        </is>
      </c>
      <c r="H166" s="14" t="n"/>
      <c r="I166" s="16" t="inlineStr">
        <is>
          <t>pages/4_Stress: scenario/severity selector, factor sliders, waterfall, path chart</t>
        </is>
      </c>
      <c r="J166" s="16" t="n"/>
      <c r="K166" s="16" t="inlineStr">
        <is>
          <t>pages/4_Stress: scenario/severity selector, factor sliders, waterfall, path chart</t>
        </is>
      </c>
      <c r="L166" s="16" t="inlineStr">
        <is>
          <t>High</t>
        </is>
      </c>
      <c r="M166" s="16" t="inlineStr">
        <is>
          <t>T11.18, T14</t>
        </is>
      </c>
      <c r="N166" s="16" t="inlineStr">
        <is>
          <t>BR pp.5–6</t>
        </is>
      </c>
    </row>
    <row r="167" ht="36.75" customHeight="1" s="36">
      <c r="A167" s="8" t="inlineStr">
        <is>
          <t>T11.23</t>
        </is>
      </c>
      <c r="B167" s="8" t="inlineStr">
        <is>
          <t>T11</t>
        </is>
      </c>
      <c r="C167" s="16" t="inlineStr">
        <is>
          <t>Stress testing</t>
        </is>
      </c>
      <c r="D167" s="16" t="inlineStr">
        <is>
          <t>Feed severe-scenario loss and headroom into memo and T20 decision (gold/XLE hedge test in T4.25)</t>
        </is>
      </c>
      <c r="E167" s="16" t="inlineStr">
        <is>
          <t>Dewmini</t>
        </is>
      </c>
      <c r="F167" s="16" t="inlineStr">
        <is>
          <t>Not Started</t>
        </is>
      </c>
      <c r="G167" s="16" t="inlineStr">
        <is>
          <t>Weeks 2–3</t>
        </is>
      </c>
      <c r="H167" s="14" t="n"/>
      <c r="I167" s="16" t="n"/>
      <c r="J167" s="16" t="n"/>
      <c r="K167" s="16" t="inlineStr">
        <is>
          <t>Memo stress section</t>
        </is>
      </c>
      <c r="L167" s="16" t="inlineStr">
        <is>
          <t>Critical</t>
        </is>
      </c>
      <c r="M167" s="16" t="inlineStr">
        <is>
          <t>T11.20, T20</t>
        </is>
      </c>
      <c r="N167" s="16" t="inlineStr">
        <is>
          <t>Decision 30%</t>
        </is>
      </c>
    </row>
    <row r="168" ht="36.75" customHeight="1" s="36">
      <c r="A168" s="8" t="inlineStr">
        <is>
          <t>T12.01</t>
        </is>
      </c>
      <c r="B168" s="8" t="inlineStr">
        <is>
          <t>T12</t>
        </is>
      </c>
      <c r="C168" s="16" t="inlineStr">
        <is>
          <t>Macro and industry risk analysis (optional)</t>
        </is>
      </c>
      <c r="D168" s="16" t="inlineStr">
        <is>
          <t>Identify the important rates, inflation, oil and geopolitical exposures</t>
        </is>
      </c>
      <c r="E168" s="16" t="inlineStr">
        <is>
          <t>Malindu</t>
        </is>
      </c>
      <c r="F168" s="16" t="inlineStr">
        <is>
          <t>Not Started</t>
        </is>
      </c>
      <c r="G168" s="16" t="inlineStr">
        <is>
          <t>Week 3</t>
        </is>
      </c>
      <c r="H168" s="14" t="n"/>
      <c r="I168" s="16" t="n"/>
      <c r="J168" s="16" t="n"/>
      <c r="K168" s="16" t="inlineStr">
        <is>
          <t>Exposure list</t>
        </is>
      </c>
      <c r="L168" s="16" t="inlineStr">
        <is>
          <t>Medium</t>
        </is>
      </c>
      <c r="M168" s="16" t="inlineStr">
        <is>
          <t>—</t>
        </is>
      </c>
      <c r="N168" s="16" t="inlineStr">
        <is>
          <t>PM · BR p.4 #9</t>
        </is>
      </c>
    </row>
    <row r="169" ht="36.75" customHeight="1" s="36">
      <c r="A169" s="8" t="inlineStr">
        <is>
          <t>T12.02</t>
        </is>
      </c>
      <c r="B169" s="8" t="inlineStr">
        <is>
          <t>T12</t>
        </is>
      </c>
      <c r="C169" s="16" t="inlineStr">
        <is>
          <t>Macro and industry risk analysis (optional)</t>
        </is>
      </c>
      <c r="D169" s="16" t="inlineStr">
        <is>
          <t>Research ETF sensitivity to recession and policy shocks</t>
        </is>
      </c>
      <c r="E169" s="16" t="inlineStr">
        <is>
          <t>Malindu</t>
        </is>
      </c>
      <c r="F169" s="16" t="inlineStr">
        <is>
          <t>Not Started</t>
        </is>
      </c>
      <c r="G169" s="16" t="inlineStr">
        <is>
          <t>Week 3</t>
        </is>
      </c>
      <c r="H169" s="14" t="n"/>
      <c r="I169" s="16" t="n"/>
      <c r="J169" s="16" t="n"/>
      <c r="K169" s="16" t="inlineStr">
        <is>
          <t>Sensitivity notes</t>
        </is>
      </c>
      <c r="L169" s="16" t="inlineStr">
        <is>
          <t>Medium</t>
        </is>
      </c>
      <c r="M169" s="16" t="inlineStr">
        <is>
          <t>T12.01</t>
        </is>
      </c>
      <c r="N169" s="16" t="inlineStr">
        <is>
          <t>PM</t>
        </is>
      </c>
    </row>
    <row r="170" ht="36.75" customHeight="1" s="36">
      <c r="A170" s="8" t="inlineStr">
        <is>
          <t>T12.03</t>
        </is>
      </c>
      <c r="B170" s="8" t="inlineStr">
        <is>
          <t>T12</t>
        </is>
      </c>
      <c r="C170" s="16" t="inlineStr">
        <is>
          <t>Macro and industry risk analysis (optional)</t>
        </is>
      </c>
      <c r="D170" s="16" t="inlineStr">
        <is>
          <t>Connect industry exposures with the chosen shock scenario</t>
        </is>
      </c>
      <c r="E170" s="16" t="inlineStr">
        <is>
          <t>Malindu</t>
        </is>
      </c>
      <c r="F170" s="16" t="inlineStr">
        <is>
          <t>Not Started</t>
        </is>
      </c>
      <c r="G170" s="16" t="inlineStr">
        <is>
          <t>Week 3</t>
        </is>
      </c>
      <c r="H170" s="14" t="n"/>
      <c r="I170" s="16" t="n"/>
      <c r="J170" s="16" t="n"/>
      <c r="K170" s="16" t="inlineStr">
        <is>
          <t>Input to T11.03</t>
        </is>
      </c>
      <c r="L170" s="16" t="inlineStr">
        <is>
          <t>Medium</t>
        </is>
      </c>
      <c r="M170" s="16" t="inlineStr">
        <is>
          <t>T12.02</t>
        </is>
      </c>
      <c r="N170" s="16" t="inlineStr">
        <is>
          <t>PM</t>
        </is>
      </c>
    </row>
    <row r="171" ht="36.75" customHeight="1" s="36">
      <c r="A171" s="8" t="inlineStr">
        <is>
          <t>T12.04</t>
        </is>
      </c>
      <c r="B171" s="8" t="inlineStr">
        <is>
          <t>T12</t>
        </is>
      </c>
      <c r="C171" s="16" t="inlineStr">
        <is>
          <t>Macro and industry risk analysis (optional)</t>
        </is>
      </c>
      <c r="D171" s="16" t="inlineStr">
        <is>
          <t>Write macro-risk notes for the report and stress test</t>
        </is>
      </c>
      <c r="E171" s="16" t="inlineStr">
        <is>
          <t>Malindu</t>
        </is>
      </c>
      <c r="F171" s="16" t="inlineStr">
        <is>
          <t>Not Started</t>
        </is>
      </c>
      <c r="G171" s="16" t="inlineStr">
        <is>
          <t>Week 3</t>
        </is>
      </c>
      <c r="H171" s="14" t="n"/>
      <c r="I171" s="16" t="n"/>
      <c r="J171" s="16" t="n"/>
      <c r="K171" s="16" t="inlineStr">
        <is>
          <t>Report section</t>
        </is>
      </c>
      <c r="L171" s="16" t="inlineStr">
        <is>
          <t>Medium</t>
        </is>
      </c>
      <c r="M171" s="16" t="inlineStr">
        <is>
          <t>T12.03</t>
        </is>
      </c>
      <c r="N171" s="16" t="inlineStr">
        <is>
          <t>PM · BR p.10 counts in decision score</t>
        </is>
      </c>
    </row>
    <row r="172" ht="36.75" customHeight="1" s="36">
      <c r="A172" s="8" t="inlineStr">
        <is>
          <t>T12.05</t>
        </is>
      </c>
      <c r="B172" s="8" t="inlineStr">
        <is>
          <t>T12</t>
        </is>
      </c>
      <c r="C172" s="16" t="inlineStr">
        <is>
          <t>Macro and industry risk analysis (optional)</t>
        </is>
      </c>
      <c r="D172" s="16" t="inlineStr">
        <is>
          <t>Macro context from World Bank / IMF open data only</t>
        </is>
      </c>
      <c r="E172" s="16" t="inlineStr">
        <is>
          <t>Malindu</t>
        </is>
      </c>
      <c r="F172" s="16" t="inlineStr">
        <is>
          <t>Not Started</t>
        </is>
      </c>
      <c r="G172" s="16" t="inlineStr">
        <is>
          <t>Week 3</t>
        </is>
      </c>
      <c r="H172" s="14" t="n"/>
      <c r="I172" s="16" t="n"/>
      <c r="J172" s="16" t="n"/>
      <c r="K172" s="16" t="inlineStr">
        <is>
          <t>Cited figures in memo</t>
        </is>
      </c>
      <c r="L172" s="16" t="inlineStr">
        <is>
          <t>Low</t>
        </is>
      </c>
      <c r="M172" s="16" t="inlineStr">
        <is>
          <t>T12.04</t>
        </is>
      </c>
      <c r="N172" s="16" t="inlineStr">
        <is>
          <t>BR p.9</t>
        </is>
      </c>
    </row>
    <row r="173" ht="36.75" customHeight="1" s="36">
      <c r="A173" s="8" t="inlineStr">
        <is>
          <t>T13.01</t>
        </is>
      </c>
      <c r="B173" s="8" t="inlineStr">
        <is>
          <t>T13</t>
        </is>
      </c>
      <c r="C173" s="16" t="inlineStr">
        <is>
          <t>Innovation extension</t>
        </is>
      </c>
      <c r="D173" s="16" t="inlineStr">
        <is>
          <t>Choose one additional model and state a testable hypothesis</t>
        </is>
      </c>
      <c r="E173" s="16" t="inlineStr">
        <is>
          <t>Sujan</t>
        </is>
      </c>
      <c r="F173" s="16" t="inlineStr">
        <is>
          <t>Not Started</t>
        </is>
      </c>
      <c r="G173" s="16" t="inlineStr">
        <is>
          <t>Week 3</t>
        </is>
      </c>
      <c r="H173" s="14" t="n"/>
      <c r="I173" s="16" t="n"/>
      <c r="J173" s="16" t="n"/>
      <c r="K173" s="16" t="inlineStr">
        <is>
          <t>Entry in INNOVATION_LOG.md</t>
        </is>
      </c>
      <c r="L173" s="16" t="inlineStr">
        <is>
          <t>Medium</t>
        </is>
      </c>
      <c r="M173" s="16" t="inlineStr">
        <is>
          <t>T6.05</t>
        </is>
      </c>
      <c r="N173" s="16" t="inlineStr">
        <is>
          <t>PM</t>
        </is>
      </c>
    </row>
    <row r="174" ht="36.75" customHeight="1" s="36">
      <c r="A174" s="8" t="inlineStr">
        <is>
          <t>T13.02</t>
        </is>
      </c>
      <c r="B174" s="8" t="inlineStr">
        <is>
          <t>T13</t>
        </is>
      </c>
      <c r="C174" s="16" t="inlineStr">
        <is>
          <t>Innovation extension</t>
        </is>
      </c>
      <c r="D174" s="16" t="inlineStr">
        <is>
          <t>Specify the method and baseline comparison fairly</t>
        </is>
      </c>
      <c r="E174" s="16" t="inlineStr">
        <is>
          <t>Sujan</t>
        </is>
      </c>
      <c r="F174" s="16" t="inlineStr">
        <is>
          <t>Not Started</t>
        </is>
      </c>
      <c r="G174" s="16" t="inlineStr">
        <is>
          <t>Week 3</t>
        </is>
      </c>
      <c r="H174" s="14" t="n"/>
      <c r="I174" s="16" t="n"/>
      <c r="J174" s="16" t="n"/>
      <c r="K174" s="16" t="inlineStr">
        <is>
          <t>Method note</t>
        </is>
      </c>
      <c r="L174" s="16" t="inlineStr">
        <is>
          <t>Medium</t>
        </is>
      </c>
      <c r="M174" s="16" t="inlineStr">
        <is>
          <t>T13.01</t>
        </is>
      </c>
      <c r="N174" s="16" t="inlineStr">
        <is>
          <t>PM</t>
        </is>
      </c>
    </row>
    <row r="175" ht="36.75" customHeight="1" s="36">
      <c r="A175" s="8" t="inlineStr">
        <is>
          <t>T13.03</t>
        </is>
      </c>
      <c r="B175" s="8" t="inlineStr">
        <is>
          <t>T13</t>
        </is>
      </c>
      <c r="C175" s="16" t="inlineStr">
        <is>
          <t>Innovation extension</t>
        </is>
      </c>
      <c r="D175" s="16" t="inlineStr">
        <is>
          <t>Implement innovation without future-data leakage</t>
        </is>
      </c>
      <c r="E175" s="16" t="inlineStr">
        <is>
          <t>Sujan</t>
        </is>
      </c>
      <c r="F175" s="16" t="inlineStr">
        <is>
          <t>Not Started</t>
        </is>
      </c>
      <c r="G175" s="16" t="inlineStr">
        <is>
          <t>Week 3</t>
        </is>
      </c>
      <c r="H175" s="14" t="n"/>
      <c r="I175" s="16" t="n"/>
      <c r="J175" s="16" t="n"/>
      <c r="K175" s="16" t="inlineStr">
        <is>
          <t>Code + tests</t>
        </is>
      </c>
      <c r="L175" s="16" t="inlineStr">
        <is>
          <t>Medium</t>
        </is>
      </c>
      <c r="M175" s="16" t="inlineStr">
        <is>
          <t>T13.02</t>
        </is>
      </c>
      <c r="N175" s="16" t="inlineStr">
        <is>
          <t>PM</t>
        </is>
      </c>
    </row>
    <row r="176" ht="36.75" customHeight="1" s="36">
      <c r="A176" s="8" t="inlineStr">
        <is>
          <t>T13.04</t>
        </is>
      </c>
      <c r="B176" s="8" t="inlineStr">
        <is>
          <t>T13</t>
        </is>
      </c>
      <c r="C176" s="16" t="inlineStr">
        <is>
          <t>Innovation extension</t>
        </is>
      </c>
      <c r="D176" s="16" t="inlineStr">
        <is>
          <t>Backtest innovation and compare standalone methods</t>
        </is>
      </c>
      <c r="E176" s="16" t="inlineStr">
        <is>
          <t>Sujan</t>
        </is>
      </c>
      <c r="F176" s="16" t="inlineStr">
        <is>
          <t>Not Started</t>
        </is>
      </c>
      <c r="G176" s="16" t="inlineStr">
        <is>
          <t>Week 3</t>
        </is>
      </c>
      <c r="H176" s="14" t="n"/>
      <c r="I176" s="16" t="n"/>
      <c r="J176" s="16" t="n"/>
      <c r="K176" s="16" t="inlineStr">
        <is>
          <t>Backtest comparison</t>
        </is>
      </c>
      <c r="L176" s="16" t="inlineStr">
        <is>
          <t>Medium</t>
        </is>
      </c>
      <c r="M176" s="16" t="inlineStr">
        <is>
          <t>T13.03, T10.04</t>
        </is>
      </c>
      <c r="N176" s="16" t="inlineStr">
        <is>
          <t>PM</t>
        </is>
      </c>
    </row>
    <row r="177" ht="36.75" customHeight="1" s="36">
      <c r="A177" s="8" t="inlineStr">
        <is>
          <t>T13.05</t>
        </is>
      </c>
      <c r="B177" s="8" t="inlineStr">
        <is>
          <t>T13</t>
        </is>
      </c>
      <c r="C177" s="16" t="inlineStr">
        <is>
          <t>Innovation extension</t>
        </is>
      </c>
      <c r="D177" s="16" t="inlineStr">
        <is>
          <t>Report gains, failures, limitations and overfitting concerns</t>
        </is>
      </c>
      <c r="E177" s="16" t="inlineStr">
        <is>
          <t>Sujan</t>
        </is>
      </c>
      <c r="F177" s="16" t="inlineStr">
        <is>
          <t>Not Started</t>
        </is>
      </c>
      <c r="G177" s="16" t="inlineStr">
        <is>
          <t>Week 3</t>
        </is>
      </c>
      <c r="H177" s="14" t="n"/>
      <c r="I177" s="16" t="n"/>
      <c r="J177" s="16" t="n"/>
      <c r="K177" s="16" t="inlineStr">
        <is>
          <t>Report section</t>
        </is>
      </c>
      <c r="L177" s="16" t="inlineStr">
        <is>
          <t>Medium</t>
        </is>
      </c>
      <c r="M177" s="16" t="inlineStr">
        <is>
          <t>T13.04</t>
        </is>
      </c>
      <c r="N177" s="16" t="inlineStr">
        <is>
          <t>PM</t>
        </is>
      </c>
    </row>
    <row r="178" ht="36.75" customHeight="1" s="36">
      <c r="A178" s="8" t="inlineStr">
        <is>
          <t>T13.06</t>
        </is>
      </c>
      <c r="B178" s="8" t="inlineStr">
        <is>
          <t>T13</t>
        </is>
      </c>
      <c r="C178" s="16" t="inlineStr">
        <is>
          <t>Innovation extension</t>
        </is>
      </c>
      <c r="D178" s="16" t="inlineStr">
        <is>
          <t>Agree the innovation set (rec. #12) and wavelets decision (rec. #13)</t>
        </is>
      </c>
      <c r="E178" s="16" t="inlineStr">
        <is>
          <t>All members</t>
        </is>
      </c>
      <c r="F178" s="16" t="inlineStr">
        <is>
          <t>Not Started</t>
        </is>
      </c>
      <c r="G178" s="16" t="inlineStr">
        <is>
          <t>Week 3</t>
        </is>
      </c>
      <c r="H178" s="14" t="n"/>
      <c r="I178" s="16" t="n"/>
      <c r="J178" s="16" t="n"/>
      <c r="K178" s="16" t="inlineStr">
        <is>
          <t>Approved list in DECISIONS.md</t>
        </is>
      </c>
      <c r="L178" s="16" t="inlineStr">
        <is>
          <t>Medium</t>
        </is>
      </c>
      <c r="M178" s="16" t="inlineStr">
        <is>
          <t>—</t>
        </is>
      </c>
      <c r="N178" s="16" t="inlineStr">
        <is>
          <t>REV</t>
        </is>
      </c>
    </row>
    <row r="179" ht="36.75" customHeight="1" s="36">
      <c r="A179" s="8" t="inlineStr">
        <is>
          <t>T13.07</t>
        </is>
      </c>
      <c r="B179" s="8" t="inlineStr">
        <is>
          <t>T13</t>
        </is>
      </c>
      <c r="C179" s="16" t="inlineStr">
        <is>
          <t>Innovation extension</t>
        </is>
      </c>
      <c r="D179" s="16" t="inlineStr">
        <is>
          <t>Evaluate conditional drawdown-at-risk (CDaR) optimisation as innovation</t>
        </is>
      </c>
      <c r="E179" s="16" t="inlineStr">
        <is>
          <t>Sujan</t>
        </is>
      </c>
      <c r="F179" s="16" t="inlineStr">
        <is>
          <t>Not Started</t>
        </is>
      </c>
      <c r="G179" s="16" t="inlineStr">
        <is>
          <t>Week 3</t>
        </is>
      </c>
      <c r="H179" s="14" t="n"/>
      <c r="I179" s="16" t="n"/>
      <c r="J179" s="16" t="n"/>
      <c r="K179" s="16" t="inlineStr">
        <is>
          <t>Innovation log entry + comparison</t>
        </is>
      </c>
      <c r="L179" s="16" t="inlineStr">
        <is>
          <t>Medium</t>
        </is>
      </c>
      <c r="M179" s="16" t="inlineStr">
        <is>
          <t>T4.20</t>
        </is>
      </c>
      <c r="N179" s="16" t="inlineStr">
        <is>
          <t>Review 2026-10-28</t>
        </is>
      </c>
    </row>
    <row r="180" ht="36.75" customHeight="1" s="36">
      <c r="A180" s="8" t="inlineStr">
        <is>
          <t>T14.01</t>
        </is>
      </c>
      <c r="B180" s="8" t="inlineStr">
        <is>
          <t>T14</t>
        </is>
      </c>
      <c r="C180" s="16" t="inlineStr">
        <is>
          <t>Streamlit app</t>
        </is>
      </c>
      <c r="D180" s="16" t="inlineStr">
        <is>
          <t>Build sidebar: confidence 90/95/99, method and backtest dates</t>
        </is>
      </c>
      <c r="E180" s="16" t="inlineStr">
        <is>
          <t>Malindu</t>
        </is>
      </c>
      <c r="F180" s="16" t="inlineStr">
        <is>
          <t>Done</t>
        </is>
      </c>
      <c r="G180" s="16" t="inlineStr">
        <is>
          <t>Weeks 2–3</t>
        </is>
      </c>
      <c r="H180" s="14" t="n"/>
      <c r="I180" s="16" t="inlineStr">
        <is>
          <t>app/components/ui.py sidebar: confidence 90/95/99, VaR method, backtest dates (session state)</t>
        </is>
      </c>
      <c r="J180" s="16" t="n"/>
      <c r="K180" s="16" t="inlineStr">
        <is>
          <t>app/components/ui.py sidebar: confidence 90/95/99, VaR method, backtest dates (session state)</t>
        </is>
      </c>
      <c r="L180" s="16" t="inlineStr">
        <is>
          <t>Critical</t>
        </is>
      </c>
      <c r="M180" s="16" t="inlineStr">
        <is>
          <t>T6.07, T10.10</t>
        </is>
      </c>
      <c r="N180" s="16" t="inlineStr">
        <is>
          <t>PM · BR p.5</t>
        </is>
      </c>
    </row>
    <row r="181" ht="36.75" customHeight="1" s="36">
      <c r="A181" s="8" t="inlineStr">
        <is>
          <t>T14.02</t>
        </is>
      </c>
      <c r="B181" s="8" t="inlineStr">
        <is>
          <t>T14</t>
        </is>
      </c>
      <c r="C181" s="16" t="inlineStr">
        <is>
          <t>Streamlit app</t>
        </is>
      </c>
      <c r="D181" s="16" t="inlineStr">
        <is>
          <t>Build ETF weights and cumulative return portfolio panel</t>
        </is>
      </c>
      <c r="E181" s="16" t="inlineStr">
        <is>
          <t>Malindu</t>
        </is>
      </c>
      <c r="F181" s="16" t="inlineStr">
        <is>
          <t>Done</t>
        </is>
      </c>
      <c r="G181" s="16" t="inlineStr">
        <is>
          <t>Weeks 2–3</t>
        </is>
      </c>
      <c r="H181" s="14" t="n"/>
      <c r="I181" s="16" t="inlineStr">
        <is>
          <t>pages/1_Portfolio: weights, growth of $10M vs benchmarks</t>
        </is>
      </c>
      <c r="J181" s="16" t="n"/>
      <c r="K181" s="16" t="inlineStr">
        <is>
          <t>pages/1_Portfolio: weights, growth of $10M vs benchmarks</t>
        </is>
      </c>
      <c r="L181" s="16" t="inlineStr">
        <is>
          <t>Critical</t>
        </is>
      </c>
      <c r="M181" s="16" t="inlineStr">
        <is>
          <t>T4.16</t>
        </is>
      </c>
      <c r="N181" s="16" t="inlineStr">
        <is>
          <t>PM · BR p.5</t>
        </is>
      </c>
    </row>
    <row r="182" ht="36.75" customHeight="1" s="36">
      <c r="A182" s="8" t="inlineStr">
        <is>
          <t>T14.03</t>
        </is>
      </c>
      <c r="B182" s="8" t="inlineStr">
        <is>
          <t>T14</t>
        </is>
      </c>
      <c r="C182" s="16" t="inlineStr">
        <is>
          <t>Streamlit app</t>
        </is>
      </c>
      <c r="D182" s="16" t="inlineStr">
        <is>
          <t>Add drawdown figure and KPI section</t>
        </is>
      </c>
      <c r="E182" s="16" t="inlineStr">
        <is>
          <t>Malindu</t>
        </is>
      </c>
      <c r="F182" s="16" t="inlineStr">
        <is>
          <t>Done</t>
        </is>
      </c>
      <c r="G182" s="16" t="inlineStr">
        <is>
          <t>Weeks 2–3</t>
        </is>
      </c>
      <c r="H182" s="14" t="n"/>
      <c r="I182" s="16" t="inlineStr">
        <is>
          <t>pages/1_Portfolio: drawdown chart with D7 line, KPI table by period</t>
        </is>
      </c>
      <c r="J182" s="16" t="n"/>
      <c r="K182" s="16" t="inlineStr">
        <is>
          <t>pages/1_Portfolio: drawdown chart with D7 line, KPI table by period</t>
        </is>
      </c>
      <c r="L182" s="16" t="inlineStr">
        <is>
          <t>Critical</t>
        </is>
      </c>
      <c r="M182" s="16" t="inlineStr">
        <is>
          <t>T5.05</t>
        </is>
      </c>
      <c r="N182" s="16" t="inlineStr">
        <is>
          <t>PM · BR p.5</t>
        </is>
      </c>
    </row>
    <row r="183" ht="36.75" customHeight="1" s="36">
      <c r="A183" s="8" t="inlineStr">
        <is>
          <t>T14.04</t>
        </is>
      </c>
      <c r="B183" s="8" t="inlineStr">
        <is>
          <t>T14</t>
        </is>
      </c>
      <c r="C183" s="16" t="inlineStr">
        <is>
          <t>Streamlit app</t>
        </is>
      </c>
      <c r="D183" s="16" t="inlineStr">
        <is>
          <t>Create VaR/ES/EVT side-by-side risk dashboard</t>
        </is>
      </c>
      <c r="E183" s="16" t="inlineStr">
        <is>
          <t>Malindu</t>
        </is>
      </c>
      <c r="F183" s="16" t="inlineStr">
        <is>
          <t>Done</t>
        </is>
      </c>
      <c r="G183" s="16" t="inlineStr">
        <is>
          <t>Weeks 2–3</t>
        </is>
      </c>
      <c r="H183" s="14" t="n"/>
      <c r="I183" s="16" t="inlineStr">
        <is>
          <t>pages/2_Risk: VaR/ES/EVT/GARCH-EVT side by side at chosen confidence, CIs, component ES vs D27</t>
        </is>
      </c>
      <c r="J183" s="16" t="n"/>
      <c r="K183" s="16" t="inlineStr">
        <is>
          <t>pages/2_Risk: VaR/ES/EVT/GARCH-EVT side by side at chosen confidence, CIs, component ES vs D27</t>
        </is>
      </c>
      <c r="L183" s="16" t="inlineStr">
        <is>
          <t>Critical</t>
        </is>
      </c>
      <c r="M183" s="16" t="inlineStr">
        <is>
          <t>T8.05</t>
        </is>
      </c>
      <c r="N183" s="16" t="inlineStr">
        <is>
          <t>PM · BR p.5</t>
        </is>
      </c>
    </row>
    <row r="184" ht="36.75" customHeight="1" s="36">
      <c r="A184" s="8" t="inlineStr">
        <is>
          <t>T14.05</t>
        </is>
      </c>
      <c r="B184" s="8" t="inlineStr">
        <is>
          <t>T14</t>
        </is>
      </c>
      <c r="C184" s="16" t="inlineStr">
        <is>
          <t>Streamlit app</t>
        </is>
      </c>
      <c r="D184" s="16" t="inlineStr">
        <is>
          <t>Build backtesting results and traffic-light panel</t>
        </is>
      </c>
      <c r="E184" s="16" t="inlineStr">
        <is>
          <t>Malindu</t>
        </is>
      </c>
      <c r="F184" s="16" t="inlineStr">
        <is>
          <t>Done</t>
        </is>
      </c>
      <c r="G184" s="16" t="inlineStr">
        <is>
          <t>Weeks 2–3</t>
        </is>
      </c>
      <c r="H184" s="14" t="n"/>
      <c r="I184" s="16" t="inlineStr">
        <is>
          <t>pages/3_Backtest: Kupiec, Christoffersen, Basel recomputed on any date range; exception chart</t>
        </is>
      </c>
      <c r="J184" s="16" t="n"/>
      <c r="K184" s="16" t="inlineStr">
        <is>
          <t>pages/3_Backtest: Kupiec, Christoffersen, Basel recomputed on any date range; exception chart</t>
        </is>
      </c>
      <c r="L184" s="16" t="inlineStr">
        <is>
          <t>Critical</t>
        </is>
      </c>
      <c r="M184" s="16" t="inlineStr">
        <is>
          <t>T10.06</t>
        </is>
      </c>
      <c r="N184" s="16" t="inlineStr">
        <is>
          <t>PM · BR p.5</t>
        </is>
      </c>
    </row>
    <row r="185" ht="36.75" customHeight="1" s="36">
      <c r="A185" s="8" t="inlineStr">
        <is>
          <t>T14.06</t>
        </is>
      </c>
      <c r="B185" s="8" t="inlineStr">
        <is>
          <t>T14</t>
        </is>
      </c>
      <c r="C185" s="16" t="inlineStr">
        <is>
          <t>Streamlit app</t>
        </is>
      </c>
      <c r="D185" s="16" t="inlineStr">
        <is>
          <t>Build historical/hypothetical stress visualization</t>
        </is>
      </c>
      <c r="E185" s="16" t="inlineStr">
        <is>
          <t>Malindu</t>
        </is>
      </c>
      <c r="F185" s="16" t="inlineStr">
        <is>
          <t>Done</t>
        </is>
      </c>
      <c r="G185" s="16" t="inlineStr">
        <is>
          <t>Weeks 2–3</t>
        </is>
      </c>
      <c r="H185" s="14" t="n"/>
      <c r="I185" s="16" t="inlineStr">
        <is>
          <t>pages/4_Stress: scenario table, contribution waterfall, 12-month paths, factor sliders</t>
        </is>
      </c>
      <c r="J185" s="16" t="n"/>
      <c r="K185" s="16" t="inlineStr">
        <is>
          <t>pages/4_Stress: scenario table, contribution waterfall, 12-month paths, factor sliders</t>
        </is>
      </c>
      <c r="L185" s="16" t="inlineStr">
        <is>
          <t>Critical</t>
        </is>
      </c>
      <c r="M185" s="16" t="inlineStr">
        <is>
          <t>T11.05</t>
        </is>
      </c>
      <c r="N185" s="16" t="inlineStr">
        <is>
          <t>PM · BR p.6</t>
        </is>
      </c>
    </row>
    <row r="186" ht="36.75" customHeight="1" s="36">
      <c r="A186" s="8" t="inlineStr">
        <is>
          <t>T14.07</t>
        </is>
      </c>
      <c r="B186" s="8" t="inlineStr">
        <is>
          <t>T14</t>
        </is>
      </c>
      <c r="C186" s="16" t="inlineStr">
        <is>
          <t>Streamlit app</t>
        </is>
      </c>
      <c r="D186" s="16" t="inlineStr">
        <is>
          <t>Add Assumptions page and test app interactions</t>
        </is>
      </c>
      <c r="E186" s="16" t="inlineStr">
        <is>
          <t>Malindu</t>
        </is>
      </c>
      <c r="F186" s="16" t="inlineStr">
        <is>
          <t>Done</t>
        </is>
      </c>
      <c r="G186" s="16" t="inlineStr">
        <is>
          <t>Weeks 2–3</t>
        </is>
      </c>
      <c r="H186" s="14" t="n"/>
      <c r="I186" s="16" t="inlineStr">
        <is>
          <t>pages/7_Assumptions from docs/ASSUMPTIONS_LIMITATIONS.md; tests/integration/test_app.py (9 pages run)</t>
        </is>
      </c>
      <c r="J186" s="16" t="n"/>
      <c r="K186" s="16" t="inlineStr">
        <is>
          <t>pages/7_Assumptions from docs/ASSUMPTIONS_LIMITATIONS.md; tests/integration/test_app.py (9 pages run)</t>
        </is>
      </c>
      <c r="L186" s="16" t="inlineStr">
        <is>
          <t>Critical</t>
        </is>
      </c>
      <c r="M186" s="16" t="inlineStr">
        <is>
          <t>T15.05</t>
        </is>
      </c>
      <c r="N186" s="16" t="inlineStr">
        <is>
          <t>PM · BR p.6</t>
        </is>
      </c>
    </row>
    <row r="187" ht="36.75" customHeight="1" s="36">
      <c r="A187" s="8" t="inlineStr">
        <is>
          <t>T14.08</t>
        </is>
      </c>
      <c r="B187" s="8" t="inlineStr">
        <is>
          <t>T14</t>
        </is>
      </c>
      <c r="C187" s="16" t="inlineStr">
        <is>
          <t>Streamlit app</t>
        </is>
      </c>
      <c r="D187" s="16" t="inlineStr">
        <is>
          <t>Shared loader: app reads outputs only, cached; no model code in UI</t>
        </is>
      </c>
      <c r="E187" s="16" t="inlineStr">
        <is>
          <t>Malindu</t>
        </is>
      </c>
      <c r="F187" s="16" t="inlineStr">
        <is>
          <t>Done</t>
        </is>
      </c>
      <c r="G187" s="16" t="inlineStr">
        <is>
          <t>Weeks 2–3</t>
        </is>
      </c>
      <c r="H187" s="14" t="n"/>
      <c r="I187" s="16" t="inlineStr">
        <is>
          <t>app/components/data.py: cached loaders, outputs only</t>
        </is>
      </c>
      <c r="J187" s="16" t="n"/>
      <c r="K187" s="16" t="inlineStr">
        <is>
          <t>app/components/data.py: cached loaders, outputs only</t>
        </is>
      </c>
      <c r="L187" s="16" t="inlineStr">
        <is>
          <t>High</t>
        </is>
      </c>
      <c r="M187" s="16" t="inlineStr">
        <is>
          <t>T4.16</t>
        </is>
      </c>
      <c r="N187" s="16" t="inlineStr">
        <is>
          <t>FJ app 03 · AGENTS.md</t>
        </is>
      </c>
    </row>
    <row r="188" ht="36.75" customHeight="1" s="36">
      <c r="A188" s="8" t="inlineStr">
        <is>
          <t>T14.09</t>
        </is>
      </c>
      <c r="B188" s="8" t="inlineStr">
        <is>
          <t>T14</t>
        </is>
      </c>
      <c r="C188" s="16" t="inlineStr">
        <is>
          <t>Streamlit app</t>
        </is>
      </c>
      <c r="D188" s="16" t="inlineStr">
        <is>
          <t>Decision &amp; tear-sheet page (P3, limits, monitoring triggers)</t>
        </is>
      </c>
      <c r="E188" s="16" t="inlineStr">
        <is>
          <t>Malindu</t>
        </is>
      </c>
      <c r="F188" s="16" t="inlineStr">
        <is>
          <t>Done</t>
        </is>
      </c>
      <c r="G188" s="16" t="inlineStr">
        <is>
          <t>Weeks 2–3</t>
        </is>
      </c>
      <c r="H188" s="14" t="n"/>
      <c r="I188" s="16" t="inlineStr">
        <is>
          <t>pages/6_Decision: P3, suitability gate, validation, triggers</t>
        </is>
      </c>
      <c r="J188" s="16" t="n"/>
      <c r="K188" s="16" t="inlineStr">
        <is>
          <t>pages/6_Decision: P3, suitability gate, validation, triggers</t>
        </is>
      </c>
      <c r="L188" s="16" t="inlineStr">
        <is>
          <t>High</t>
        </is>
      </c>
      <c r="M188" s="16" t="inlineStr">
        <is>
          <t>T20.04</t>
        </is>
      </c>
      <c r="N188" s="16" t="inlineStr">
        <is>
          <t>FJ app 08</t>
        </is>
      </c>
    </row>
    <row r="189" ht="36.75" customHeight="1" s="36">
      <c r="A189" s="8" t="inlineStr">
        <is>
          <t>T14.10</t>
        </is>
      </c>
      <c r="B189" s="8" t="inlineStr">
        <is>
          <t>T14</t>
        </is>
      </c>
      <c r="C189" s="16" t="inlineStr">
        <is>
          <t>Streamlit app</t>
        </is>
      </c>
      <c r="D189" s="16" t="inlineStr">
        <is>
          <t>AI disclosure &amp; sources page</t>
        </is>
      </c>
      <c r="E189" s="16" t="inlineStr">
        <is>
          <t>Malindu</t>
        </is>
      </c>
      <c r="F189" s="16" t="inlineStr">
        <is>
          <t>Done</t>
        </is>
      </c>
      <c r="G189" s="16" t="inlineStr">
        <is>
          <t>Weeks 2–3</t>
        </is>
      </c>
      <c r="H189" s="14" t="n"/>
      <c r="I189" s="16" t="inlineStr">
        <is>
          <t>pages/8_Disclosure: AI disclosure, data sources, decision log</t>
        </is>
      </c>
      <c r="J189" s="16" t="n"/>
      <c r="K189" s="16" t="inlineStr">
        <is>
          <t>pages/8_Disclosure: AI disclosure, data sources, decision log</t>
        </is>
      </c>
      <c r="L189" s="16" t="inlineStr">
        <is>
          <t>Medium</t>
        </is>
      </c>
      <c r="M189" s="16" t="inlineStr">
        <is>
          <t>T18.05</t>
        </is>
      </c>
      <c r="N189" s="16" t="inlineStr">
        <is>
          <t>FJ app 10</t>
        </is>
      </c>
    </row>
    <row r="190" ht="36.75" customHeight="1" s="36">
      <c r="A190" s="8" t="inlineStr">
        <is>
          <t>T14.11</t>
        </is>
      </c>
      <c r="B190" s="8" t="inlineStr">
        <is>
          <t>T14</t>
        </is>
      </c>
      <c r="C190" s="16" t="inlineStr">
        <is>
          <t>Streamlit app</t>
        </is>
      </c>
      <c r="D190" s="16" t="inlineStr">
        <is>
          <t>Export &amp; reproducibility page (CSV/figures download)</t>
        </is>
      </c>
      <c r="E190" s="16" t="inlineStr">
        <is>
          <t>Malindu</t>
        </is>
      </c>
      <c r="F190" s="16" t="inlineStr">
        <is>
          <t>Done</t>
        </is>
      </c>
      <c r="G190" s="16" t="inlineStr">
        <is>
          <t>Weeks 2–3</t>
        </is>
      </c>
      <c r="H190" s="14" t="n"/>
      <c r="I190" s="16" t="inlineStr">
        <is>
          <t>download buttons on Decision page (CSV / Markdown)</t>
        </is>
      </c>
      <c r="J190" s="16" t="n"/>
      <c r="K190" s="16" t="inlineStr">
        <is>
          <t>download buttons on Decision page (CSV / Markdown)</t>
        </is>
      </c>
      <c r="L190" s="16" t="inlineStr">
        <is>
          <t>Low</t>
        </is>
      </c>
      <c r="M190" s="16" t="inlineStr">
        <is>
          <t>T14.02–T14.06</t>
        </is>
      </c>
      <c r="N190" s="16" t="inlineStr">
        <is>
          <t>FJ app 11</t>
        </is>
      </c>
    </row>
    <row r="191" ht="36.75" customHeight="1" s="36">
      <c r="A191" s="8" t="inlineStr">
        <is>
          <t>T14.12</t>
        </is>
      </c>
      <c r="B191" s="8" t="inlineStr">
        <is>
          <t>T14</t>
        </is>
      </c>
      <c r="C191" s="16" t="inlineStr">
        <is>
          <t>Streamlit app</t>
        </is>
      </c>
      <c r="D191" s="16" t="inlineStr">
        <is>
          <t>Plain-language labels for a non-technical committee (units, horizon on every number)</t>
        </is>
      </c>
      <c r="E191" s="16" t="inlineStr">
        <is>
          <t>Malindu</t>
        </is>
      </c>
      <c r="F191" s="16" t="inlineStr">
        <is>
          <t>In Progress</t>
        </is>
      </c>
      <c r="G191" s="16" t="inlineStr">
        <is>
          <t>Weeks 2–3</t>
        </is>
      </c>
      <c r="H191" s="14" t="n"/>
      <c r="I191" s="16" t="n"/>
      <c r="J191" s="16" t="n"/>
      <c r="K191" s="16" t="inlineStr">
        <is>
          <t>UI copy review</t>
        </is>
      </c>
      <c r="L191" s="16" t="inlineStr">
        <is>
          <t>High</t>
        </is>
      </c>
      <c r="M191" s="16" t="inlineStr">
        <is>
          <t>T14.01–T14.07</t>
        </is>
      </c>
      <c r="N191" s="16" t="inlineStr">
        <is>
          <t>BR p.5 · masterclass</t>
        </is>
      </c>
    </row>
    <row r="192" ht="36.75" customHeight="1" s="36">
      <c r="A192" s="8" t="inlineStr">
        <is>
          <t>T14.13</t>
        </is>
      </c>
      <c r="B192" s="8" t="inlineStr">
        <is>
          <t>T14</t>
        </is>
      </c>
      <c r="C192" s="16" t="inlineStr">
        <is>
          <t>Streamlit app</t>
        </is>
      </c>
      <c r="D192" s="16" t="inlineStr">
        <is>
          <t>What-if sliders on decision page: spending, growth, costs, ERP → required return, gap, sustainable spending</t>
        </is>
      </c>
      <c r="E192" s="16" t="inlineStr">
        <is>
          <t>Malindu</t>
        </is>
      </c>
      <c r="F192" s="16" t="inlineStr">
        <is>
          <t>Done</t>
        </is>
      </c>
      <c r="G192" s="16" t="inlineStr">
        <is>
          <t>Weeks 2–3</t>
        </is>
      </c>
      <c r="H192" s="14" t="n"/>
      <c r="I192" s="16" t="inlineStr">
        <is>
          <t>pages/5_Sustainability: what-if sliders (spending, growth, costs, inflation, ERP) + trade-off + recovery</t>
        </is>
      </c>
      <c r="J192" s="16" t="n"/>
      <c r="K192" s="16" t="inlineStr">
        <is>
          <t>pages/5_Sustainability: what-if sliders (spending, growth, costs, inflation, ERP) + trade-off + recovery</t>
        </is>
      </c>
      <c r="L192" s="16" t="inlineStr">
        <is>
          <t>Medium</t>
        </is>
      </c>
      <c r="M192" s="16" t="inlineStr">
        <is>
          <t>T4.21</t>
        </is>
      </c>
      <c r="N192" s="16" t="inlineStr">
        <is>
          <t>Team request 2026-10-28</t>
        </is>
      </c>
    </row>
    <row r="193" ht="36.75" customHeight="1" s="36">
      <c r="A193" s="8" t="inlineStr">
        <is>
          <t>T15.01</t>
        </is>
      </c>
      <c r="B193" s="8" t="inlineStr">
        <is>
          <t>T15</t>
        </is>
      </c>
      <c r="C193" s="16" t="inlineStr">
        <is>
          <t>Assumptions and Limitations</t>
        </is>
      </c>
      <c r="D193" s="16" t="inlineStr">
        <is>
          <t>Document data universe, dates, sourcing and limitations</t>
        </is>
      </c>
      <c r="E193" s="16" t="inlineStr">
        <is>
          <t>Raveena + Dewmini</t>
        </is>
      </c>
      <c r="F193" s="16" t="inlineStr">
        <is>
          <t>In Progress</t>
        </is>
      </c>
      <c r="G193" s="16" t="inlineStr">
        <is>
          <t>Week 3</t>
        </is>
      </c>
      <c r="H193" s="14" t="n"/>
      <c r="I193" s="16" t="n"/>
      <c r="J193" s="16" t="n"/>
      <c r="K193" s="16" t="inlineStr">
        <is>
          <t>Data section</t>
        </is>
      </c>
      <c r="L193" s="16" t="inlineStr">
        <is>
          <t>Critical</t>
        </is>
      </c>
      <c r="M193" s="16" t="inlineStr">
        <is>
          <t>T2.11</t>
        </is>
      </c>
      <c r="N193" s="16" t="inlineStr">
        <is>
          <t>PM · FRED notes written</t>
        </is>
      </c>
    </row>
    <row r="194" ht="36.75" customHeight="1" s="36">
      <c r="A194" s="8" t="inlineStr">
        <is>
          <t>T15.02</t>
        </is>
      </c>
      <c r="B194" s="8" t="inlineStr">
        <is>
          <t>T15</t>
        </is>
      </c>
      <c r="C194" s="16" t="inlineStr">
        <is>
          <t>Assumptions and Limitations</t>
        </is>
      </c>
      <c r="D194" s="16" t="inlineStr">
        <is>
          <t>Explain distribution, volatility and dependence assumptions</t>
        </is>
      </c>
      <c r="E194" s="16" t="inlineStr">
        <is>
          <t>Raveena + Dewmini</t>
        </is>
      </c>
      <c r="F194" s="16" t="inlineStr">
        <is>
          <t>Not Started</t>
        </is>
      </c>
      <c r="G194" s="16" t="inlineStr">
        <is>
          <t>Week 3</t>
        </is>
      </c>
      <c r="H194" s="14" t="n"/>
      <c r="I194" s="16" t="n"/>
      <c r="J194" s="16" t="n"/>
      <c r="K194" s="16" t="inlineStr">
        <is>
          <t>Model section</t>
        </is>
      </c>
      <c r="L194" s="16" t="inlineStr">
        <is>
          <t>Critical</t>
        </is>
      </c>
      <c r="M194" s="16" t="inlineStr">
        <is>
          <t>T6.08</t>
        </is>
      </c>
      <c r="N194" s="16" t="inlineStr">
        <is>
          <t>PM</t>
        </is>
      </c>
    </row>
    <row r="195" ht="36.75" customHeight="1" s="36">
      <c r="A195" s="8" t="inlineStr">
        <is>
          <t>T15.03</t>
        </is>
      </c>
      <c r="B195" s="8" t="inlineStr">
        <is>
          <t>T15</t>
        </is>
      </c>
      <c r="C195" s="16" t="inlineStr">
        <is>
          <t>Assumptions and Limitations</t>
        </is>
      </c>
      <c r="D195" s="16" t="inlineStr">
        <is>
          <t>Explain unseen shocks, low liquidity and tail-data scarcity</t>
        </is>
      </c>
      <c r="E195" s="16" t="inlineStr">
        <is>
          <t>Raveena + Dewmini</t>
        </is>
      </c>
      <c r="F195" s="16" t="inlineStr">
        <is>
          <t>Not Started</t>
        </is>
      </c>
      <c r="G195" s="16" t="inlineStr">
        <is>
          <t>Week 3</t>
        </is>
      </c>
      <c r="H195" s="14" t="n"/>
      <c r="I195" s="16" t="n"/>
      <c r="J195" s="16" t="n"/>
      <c r="K195" s="16" t="inlineStr">
        <is>
          <t>Tail / liquidity section</t>
        </is>
      </c>
      <c r="L195" s="16" t="inlineStr">
        <is>
          <t>Critical</t>
        </is>
      </c>
      <c r="M195" s="16" t="inlineStr">
        <is>
          <t>T8.06, T11.09</t>
        </is>
      </c>
      <c r="N195" s="16" t="inlineStr">
        <is>
          <t>PM</t>
        </is>
      </c>
    </row>
    <row r="196" ht="36.75" customHeight="1" s="36">
      <c r="A196" s="8" t="inlineStr">
        <is>
          <t>T15.04</t>
        </is>
      </c>
      <c r="B196" s="8" t="inlineStr">
        <is>
          <t>T15</t>
        </is>
      </c>
      <c r="C196" s="16" t="inlineStr">
        <is>
          <t>Assumptions and Limitations</t>
        </is>
      </c>
      <c r="D196" s="16" t="inlineStr">
        <is>
          <t>Clarify what backtesting can and cannot establish</t>
        </is>
      </c>
      <c r="E196" s="16" t="inlineStr">
        <is>
          <t>Raveena + Dewmini</t>
        </is>
      </c>
      <c r="F196" s="16" t="inlineStr">
        <is>
          <t>Not Started</t>
        </is>
      </c>
      <c r="G196" s="16" t="inlineStr">
        <is>
          <t>Week 3</t>
        </is>
      </c>
      <c r="H196" s="14" t="n"/>
      <c r="I196" s="16" t="n"/>
      <c r="J196" s="16" t="n"/>
      <c r="K196" s="16" t="inlineStr">
        <is>
          <t>Backtest section</t>
        </is>
      </c>
      <c r="L196" s="16" t="inlineStr">
        <is>
          <t>Critical</t>
        </is>
      </c>
      <c r="M196" s="16" t="inlineStr">
        <is>
          <t>T10.07</t>
        </is>
      </c>
      <c r="N196" s="16" t="inlineStr">
        <is>
          <t>PM</t>
        </is>
      </c>
    </row>
    <row r="197" ht="36.75" customHeight="1" s="36">
      <c r="A197" s="8" t="inlineStr">
        <is>
          <t>T15.05</t>
        </is>
      </c>
      <c r="B197" s="8" t="inlineStr">
        <is>
          <t>T15</t>
        </is>
      </c>
      <c r="C197" s="16" t="inlineStr">
        <is>
          <t>Assumptions and Limitations</t>
        </is>
      </c>
      <c r="D197" s="16" t="inlineStr">
        <is>
          <t>Ensure app and report state identical assumptions</t>
        </is>
      </c>
      <c r="E197" s="16" t="inlineStr">
        <is>
          <t>Raveena + Dewmini</t>
        </is>
      </c>
      <c r="F197" s="16" t="inlineStr">
        <is>
          <t>Not Started</t>
        </is>
      </c>
      <c r="G197" s="16" t="inlineStr">
        <is>
          <t>Week 3</t>
        </is>
      </c>
      <c r="H197" s="14" t="n"/>
      <c r="I197" s="16" t="n"/>
      <c r="J197" s="16" t="n"/>
      <c r="K197" s="16" t="inlineStr">
        <is>
          <t>App page generated from ASSUMPTIONS_LIMITATIONS.md</t>
        </is>
      </c>
      <c r="L197" s="16" t="inlineStr">
        <is>
          <t>Critical</t>
        </is>
      </c>
      <c r="M197" s="16" t="inlineStr">
        <is>
          <t>T15.01–T15.04</t>
        </is>
      </c>
      <c r="N197" s="16" t="inlineStr">
        <is>
          <t>PM · FJ limitations audit</t>
        </is>
      </c>
    </row>
    <row r="198" ht="36.75" customHeight="1" s="36">
      <c r="A198" s="8" t="inlineStr">
        <is>
          <t>T15.06</t>
        </is>
      </c>
      <c r="B198" s="8" t="inlineStr">
        <is>
          <t>T15</t>
        </is>
      </c>
      <c r="C198" s="16" t="inlineStr">
        <is>
          <t>Assumptions and Limitations</t>
        </is>
      </c>
      <c r="D198" s="16" t="inlineStr">
        <is>
          <t>Add return-objective, benchmark and risk-limit assumptions (CAPM gold, rf level, ERP, USD spending, tax, in-sample calibration)</t>
        </is>
      </c>
      <c r="E198" s="16" t="inlineStr">
        <is>
          <t>Raveena + Dewmini</t>
        </is>
      </c>
      <c r="F198" s="16" t="inlineStr">
        <is>
          <t>Done</t>
        </is>
      </c>
      <c r="G198" s="16" t="inlineStr">
        <is>
          <t>Week 3</t>
        </is>
      </c>
      <c r="H198" s="14" t="n"/>
      <c r="I198" s="16" t="inlineStr">
        <is>
          <t>docs/ASSUMPTIONS_LIMITATIONS.md updated</t>
        </is>
      </c>
      <c r="J198" s="16" t="n"/>
      <c r="K198" s="16" t="inlineStr">
        <is>
          <t>docs/ASSUMPTIONS_LIMITATIONS.md updated</t>
        </is>
      </c>
      <c r="L198" s="16" t="inlineStr">
        <is>
          <t>High</t>
        </is>
      </c>
      <c r="M198" s="16" t="inlineStr">
        <is>
          <t>—</t>
        </is>
      </c>
      <c r="N198" s="16" t="inlineStr">
        <is>
          <t>Review 2026-10-28</t>
        </is>
      </c>
    </row>
    <row r="199" ht="36.75" customHeight="1" s="36">
      <c r="A199" s="8" t="inlineStr">
        <is>
          <t>T16.01</t>
        </is>
      </c>
      <c r="B199" s="8" t="inlineStr">
        <is>
          <t>T16</t>
        </is>
      </c>
      <c r="C199" s="16" t="inlineStr">
        <is>
          <t>Written deliverables</t>
        </is>
      </c>
      <c r="D199" s="16" t="inlineStr">
        <is>
          <t>Outline 7–15 page technical report based on actual results</t>
        </is>
      </c>
      <c r="E199" s="16" t="inlineStr">
        <is>
          <t>Raveena</t>
        </is>
      </c>
      <c r="F199" s="16" t="inlineStr">
        <is>
          <t>Not Started</t>
        </is>
      </c>
      <c r="G199" s="16" t="inlineStr">
        <is>
          <t>Week 3</t>
        </is>
      </c>
      <c r="H199" s="14" t="n"/>
      <c r="I199" s="16" t="n"/>
      <c r="J199" s="16" t="n"/>
      <c r="K199" s="16" t="inlineStr">
        <is>
          <t>Report outline</t>
        </is>
      </c>
      <c r="L199" s="16" t="inlineStr">
        <is>
          <t>Critical</t>
        </is>
      </c>
      <c r="M199" s="16" t="inlineStr">
        <is>
          <t>T1.07</t>
        </is>
      </c>
      <c r="N199" s="16" t="inlineStr">
        <is>
          <t>PM · BR p.6</t>
        </is>
      </c>
    </row>
    <row r="200" ht="36.75" customHeight="1" s="36">
      <c r="A200" s="8" t="inlineStr">
        <is>
          <t>T16.02</t>
        </is>
      </c>
      <c r="B200" s="8" t="inlineStr">
        <is>
          <t>T16</t>
        </is>
      </c>
      <c r="C200" s="16" t="inlineStr">
        <is>
          <t>Written deliverables</t>
        </is>
      </c>
      <c r="D200" s="16" t="inlineStr">
        <is>
          <t>Complete methods, evidence, tests and limitations writeup</t>
        </is>
      </c>
      <c r="E200" s="16" t="inlineStr">
        <is>
          <t>Raveena</t>
        </is>
      </c>
      <c r="F200" s="16" t="inlineStr">
        <is>
          <t>Not Started</t>
        </is>
      </c>
      <c r="G200" s="16" t="inlineStr">
        <is>
          <t>Week 3</t>
        </is>
      </c>
      <c r="H200" s="14" t="n"/>
      <c r="I200" s="16" t="n"/>
      <c r="J200" s="16" t="n"/>
      <c r="K200" s="16" t="inlineStr">
        <is>
          <t>Report draft</t>
        </is>
      </c>
      <c r="L200" s="16" t="inlineStr">
        <is>
          <t>Critical</t>
        </is>
      </c>
      <c r="M200" s="16" t="inlineStr">
        <is>
          <t>T20.04</t>
        </is>
      </c>
      <c r="N200" s="16" t="inlineStr">
        <is>
          <t>PM</t>
        </is>
      </c>
    </row>
    <row r="201" ht="36.75" customHeight="1" s="36">
      <c r="A201" s="8" t="inlineStr">
        <is>
          <t>T16.03</t>
        </is>
      </c>
      <c r="B201" s="8" t="inlineStr">
        <is>
          <t>T16</t>
        </is>
      </c>
      <c r="C201" s="16" t="inlineStr">
        <is>
          <t>Written deliverables</t>
        </is>
      </c>
      <c r="D201" s="16" t="inlineStr">
        <is>
          <t>Create concise one-page portfolio tear sheet</t>
        </is>
      </c>
      <c r="E201" s="16" t="inlineStr">
        <is>
          <t>Raveena</t>
        </is>
      </c>
      <c r="F201" s="16" t="inlineStr">
        <is>
          <t>Not Started</t>
        </is>
      </c>
      <c r="G201" s="16" t="inlineStr">
        <is>
          <t>Week 3</t>
        </is>
      </c>
      <c r="H201" s="14" t="n"/>
      <c r="I201" s="16" t="n"/>
      <c r="J201" s="16" t="n"/>
      <c r="K201" s="16" t="inlineStr">
        <is>
          <t>Tear sheet (&lt;5 min read)</t>
        </is>
      </c>
      <c r="L201" s="16" t="inlineStr">
        <is>
          <t>Critical</t>
        </is>
      </c>
      <c r="M201" s="16" t="inlineStr">
        <is>
          <t>T20.04</t>
        </is>
      </c>
      <c r="N201" s="16" t="inlineStr">
        <is>
          <t>PM · BR p.6</t>
        </is>
      </c>
    </row>
    <row r="202" ht="36.75" customHeight="1" s="36">
      <c r="A202" s="8" t="inlineStr">
        <is>
          <t>T16.04</t>
        </is>
      </c>
      <c r="B202" s="8" t="inlineStr">
        <is>
          <t>T16</t>
        </is>
      </c>
      <c r="C202" s="16" t="inlineStr">
        <is>
          <t>Written deliverables</t>
        </is>
      </c>
      <c r="D202" s="16" t="inlineStr">
        <is>
          <t>Write one-page investment committee decision memo</t>
        </is>
      </c>
      <c r="E202" s="16" t="inlineStr">
        <is>
          <t>Raveena</t>
        </is>
      </c>
      <c r="F202" s="16" t="inlineStr">
        <is>
          <t>Not Started</t>
        </is>
      </c>
      <c r="G202" s="16" t="inlineStr">
        <is>
          <t>Week 3</t>
        </is>
      </c>
      <c r="H202" s="14" t="n"/>
      <c r="I202" s="16" t="n"/>
      <c r="J202" s="16" t="n"/>
      <c r="K202" s="16" t="inlineStr">
        <is>
          <t>Memo: accept / adjust risk limit / reject (D14)</t>
        </is>
      </c>
      <c r="L202" s="16" t="inlineStr">
        <is>
          <t>Critical</t>
        </is>
      </c>
      <c r="M202" s="16" t="inlineStr">
        <is>
          <t>T20.04</t>
        </is>
      </c>
      <c r="N202" s="16" t="inlineStr">
        <is>
          <t>PM · BR p.8</t>
        </is>
      </c>
    </row>
    <row r="203" ht="36.75" customHeight="1" s="36">
      <c r="A203" s="8" t="inlineStr">
        <is>
          <t>T16.05</t>
        </is>
      </c>
      <c r="B203" s="8" t="inlineStr">
        <is>
          <t>T16</t>
        </is>
      </c>
      <c r="C203" s="16" t="inlineStr">
        <is>
          <t>Written deliverables</t>
        </is>
      </c>
      <c r="D203" s="16" t="inlineStr">
        <is>
          <t>Cross-check all numbers between report, memo and app</t>
        </is>
      </c>
      <c r="E203" s="16" t="inlineStr">
        <is>
          <t>Raveena</t>
        </is>
      </c>
      <c r="F203" s="16" t="inlineStr">
        <is>
          <t>Not Started</t>
        </is>
      </c>
      <c r="G203" s="16" t="inlineStr">
        <is>
          <t>Week 3</t>
        </is>
      </c>
      <c r="H203" s="14" t="n"/>
      <c r="I203" s="16" t="n"/>
      <c r="J203" s="16" t="n"/>
      <c r="K203" s="16" t="inlineStr">
        <is>
          <t>Number audit (automated where possible)</t>
        </is>
      </c>
      <c r="L203" s="16" t="inlineStr">
        <is>
          <t>Critical</t>
        </is>
      </c>
      <c r="M203" s="16" t="inlineStr">
        <is>
          <t>T16.02–T16.04, T14.*</t>
        </is>
      </c>
      <c r="N203" s="16" t="inlineStr">
        <is>
          <t>PM · FJ calculation audit</t>
        </is>
      </c>
    </row>
    <row r="204" ht="36.75" customHeight="1" s="36">
      <c r="A204" s="8" t="inlineStr">
        <is>
          <t>T16.06</t>
        </is>
      </c>
      <c r="B204" s="8" t="inlineStr">
        <is>
          <t>T16</t>
        </is>
      </c>
      <c r="C204" s="16" t="inlineStr">
        <is>
          <t>Written deliverables</t>
        </is>
      </c>
      <c r="D204" s="16" t="inlineStr">
        <is>
          <t>Data sources and cleaning steps section</t>
        </is>
      </c>
      <c r="E204" s="16" t="inlineStr">
        <is>
          <t>Raveena</t>
        </is>
      </c>
      <c r="F204" s="16" t="inlineStr">
        <is>
          <t>Not Started</t>
        </is>
      </c>
      <c r="G204" s="16" t="inlineStr">
        <is>
          <t>Week 3</t>
        </is>
      </c>
      <c r="H204" s="14" t="n"/>
      <c r="I204" s="16" t="n"/>
      <c r="J204" s="16" t="n"/>
      <c r="K204" s="16" t="inlineStr">
        <is>
          <t>Report section from data/README.md</t>
        </is>
      </c>
      <c r="L204" s="16" t="inlineStr">
        <is>
          <t>Critical</t>
        </is>
      </c>
      <c r="M204" s="16" t="inlineStr">
        <is>
          <t>T2.11</t>
        </is>
      </c>
      <c r="N204" s="16" t="inlineStr">
        <is>
          <t>BR p.6</t>
        </is>
      </c>
    </row>
    <row r="205" ht="36.75" customHeight="1" s="36">
      <c r="A205" s="8" t="inlineStr">
        <is>
          <t>T16.07</t>
        </is>
      </c>
      <c r="B205" s="8" t="inlineStr">
        <is>
          <t>T16</t>
        </is>
      </c>
      <c r="C205" s="16" t="inlineStr">
        <is>
          <t>Written deliverables</t>
        </is>
      </c>
      <c r="D205" s="16" t="inlineStr">
        <is>
          <t>Report sections: return objective &amp; sustainable spending; benchmark and risk-limit research (appendix)</t>
        </is>
      </c>
      <c r="E205" s="16" t="inlineStr">
        <is>
          <t>Raveena</t>
        </is>
      </c>
      <c r="F205" s="16" t="inlineStr">
        <is>
          <t>Not Started</t>
        </is>
      </c>
      <c r="G205" s="16" t="inlineStr">
        <is>
          <t>Week 3</t>
        </is>
      </c>
      <c r="H205" s="14" t="n"/>
      <c r="I205" s="16" t="n"/>
      <c r="J205" s="16" t="n"/>
      <c r="K205" s="16" t="inlineStr">
        <is>
          <t>Report draft sections</t>
        </is>
      </c>
      <c r="L205" s="16" t="inlineStr">
        <is>
          <t>High</t>
        </is>
      </c>
      <c r="M205" s="16" t="inlineStr">
        <is>
          <t>T20.04</t>
        </is>
      </c>
      <c r="N205" s="16" t="inlineStr">
        <is>
          <t>DEC D3, D7, D12</t>
        </is>
      </c>
    </row>
    <row r="206" ht="36.75" customHeight="1" s="36">
      <c r="A206" s="8" t="inlineStr">
        <is>
          <t>T17.01</t>
        </is>
      </c>
      <c r="B206" s="8" t="inlineStr">
        <is>
          <t>T17</t>
        </is>
      </c>
      <c r="C206" s="16" t="inlineStr">
        <is>
          <t>Repository and reproducibility</t>
        </is>
      </c>
      <c r="D206" s="16" t="inlineStr">
        <is>
          <t>Finalize organized, documented GitHub repository</t>
        </is>
      </c>
      <c r="E206" s="16" t="inlineStr">
        <is>
          <t>Malindu</t>
        </is>
      </c>
      <c r="F206" s="16" t="inlineStr">
        <is>
          <t>Not Started</t>
        </is>
      </c>
      <c r="G206" s="16" t="inlineStr">
        <is>
          <t>Week 3</t>
        </is>
      </c>
      <c r="H206" s="14" t="n"/>
      <c r="I206" s="16" t="n"/>
      <c r="J206" s="16" t="n"/>
      <c r="K206" s="16" t="inlineStr">
        <is>
          <t>Public / judge-accessible repo</t>
        </is>
      </c>
      <c r="L206" s="16" t="inlineStr">
        <is>
          <t>Critical</t>
        </is>
      </c>
      <c r="M206" s="16" t="inlineStr">
        <is>
          <t>T1.01</t>
        </is>
      </c>
      <c r="N206" s="16" t="inlineStr">
        <is>
          <t>PM · BR p.6</t>
        </is>
      </c>
    </row>
    <row r="207" ht="36.75" customHeight="1" s="36">
      <c r="A207" s="8" t="inlineStr">
        <is>
          <t>T17.02</t>
        </is>
      </c>
      <c r="B207" s="8" t="inlineStr">
        <is>
          <t>T17</t>
        </is>
      </c>
      <c r="C207" s="16" t="inlineStr">
        <is>
          <t>Repository and reproducibility</t>
        </is>
      </c>
      <c r="D207" s="16" t="inlineStr">
        <is>
          <t>Pin package versions and supply reproducible setup</t>
        </is>
      </c>
      <c r="E207" s="16" t="inlineStr">
        <is>
          <t>Malindu</t>
        </is>
      </c>
      <c r="F207" s="16" t="inlineStr">
        <is>
          <t>Not Started</t>
        </is>
      </c>
      <c r="G207" s="16" t="inlineStr">
        <is>
          <t>Week 3</t>
        </is>
      </c>
      <c r="H207" s="14" t="n"/>
      <c r="I207" s="16" t="n"/>
      <c r="J207" s="16" t="n"/>
      <c r="K207" s="16" t="inlineStr">
        <is>
          <t>Pinned requirements</t>
        </is>
      </c>
      <c r="L207" s="16" t="inlineStr">
        <is>
          <t>Critical</t>
        </is>
      </c>
      <c r="M207" s="16" t="inlineStr">
        <is>
          <t>T1.02</t>
        </is>
      </c>
      <c r="N207" s="16" t="inlineStr">
        <is>
          <t>PM</t>
        </is>
      </c>
    </row>
    <row r="208" ht="36.75" customHeight="1" s="36">
      <c r="A208" s="8" t="inlineStr">
        <is>
          <t>T17.03</t>
        </is>
      </c>
      <c r="B208" s="8" t="inlineStr">
        <is>
          <t>T17</t>
        </is>
      </c>
      <c r="C208" s="16" t="inlineStr">
        <is>
          <t>Repository and reproducibility</t>
        </is>
      </c>
      <c r="D208" s="16" t="inlineStr">
        <is>
          <t>Provide one-command Streamlit run instructions</t>
        </is>
      </c>
      <c r="E208" s="16" t="inlineStr">
        <is>
          <t>Malindu</t>
        </is>
      </c>
      <c r="F208" s="16" t="inlineStr">
        <is>
          <t>In Progress</t>
        </is>
      </c>
      <c r="G208" s="16" t="inlineStr">
        <is>
          <t>Week 3</t>
        </is>
      </c>
      <c r="H208" s="14" t="n"/>
      <c r="I208" s="16" t="n"/>
      <c r="J208" s="16" t="n"/>
      <c r="K208" s="16" t="inlineStr">
        <is>
          <t>`python run_all.py --app` in README</t>
        </is>
      </c>
      <c r="L208" s="16" t="inlineStr">
        <is>
          <t>Critical</t>
        </is>
      </c>
      <c r="M208" s="16" t="inlineStr">
        <is>
          <t>T14.*</t>
        </is>
      </c>
      <c r="N208" s="16" t="inlineStr">
        <is>
          <t>PM · BR p.6 · entry point exists</t>
        </is>
      </c>
    </row>
    <row r="209" ht="36.75" customHeight="1" s="36">
      <c r="A209" s="8" t="inlineStr">
        <is>
          <t>T17.04</t>
        </is>
      </c>
      <c r="B209" s="8" t="inlineStr">
        <is>
          <t>T17</t>
        </is>
      </c>
      <c r="C209" s="16" t="inlineStr">
        <is>
          <t>Repository and reproducibility</t>
        </is>
      </c>
      <c r="D209" s="16" t="inlineStr">
        <is>
          <t>Test clean installation and reproduce key results</t>
        </is>
      </c>
      <c r="E209" s="16" t="inlineStr">
        <is>
          <t>Malindu</t>
        </is>
      </c>
      <c r="F209" s="16" t="inlineStr">
        <is>
          <t>Not Started</t>
        </is>
      </c>
      <c r="G209" s="16" t="inlineStr">
        <is>
          <t>Week 3</t>
        </is>
      </c>
      <c r="H209" s="14" t="n"/>
      <c r="I209" s="16" t="n"/>
      <c r="J209" s="16" t="n"/>
      <c r="K209" s="16" t="inlineStr">
        <is>
          <t>Clean-machine test record</t>
        </is>
      </c>
      <c r="L209" s="16" t="inlineStr">
        <is>
          <t>Critical</t>
        </is>
      </c>
      <c r="M209" s="16" t="inlineStr">
        <is>
          <t>T17.02</t>
        </is>
      </c>
      <c r="N209" s="16" t="inlineStr">
        <is>
          <t>PM</t>
        </is>
      </c>
    </row>
    <row r="210" ht="36.75" customHeight="1" s="36">
      <c r="A210" s="8" t="inlineStr">
        <is>
          <t>T17.05</t>
        </is>
      </c>
      <c r="B210" s="8" t="inlineStr">
        <is>
          <t>T17</t>
        </is>
      </c>
      <c r="C210" s="16" t="inlineStr">
        <is>
          <t>Repository and reproducibility</t>
        </is>
      </c>
      <c r="D210" s="16" t="inlineStr">
        <is>
          <t>Log reproducibility evidence and known environment issues</t>
        </is>
      </c>
      <c r="E210" s="16" t="inlineStr">
        <is>
          <t>Malindu</t>
        </is>
      </c>
      <c r="F210" s="16" t="inlineStr">
        <is>
          <t>Not Started</t>
        </is>
      </c>
      <c r="G210" s="16" t="inlineStr">
        <is>
          <t>Week 3</t>
        </is>
      </c>
      <c r="H210" s="14" t="n"/>
      <c r="I210" s="16" t="n"/>
      <c r="J210" s="16" t="n"/>
      <c r="K210" s="16" t="inlineStr">
        <is>
          <t>Reproducibility log</t>
        </is>
      </c>
      <c r="L210" s="16" t="inlineStr">
        <is>
          <t>High</t>
        </is>
      </c>
      <c r="M210" s="16" t="inlineStr">
        <is>
          <t>T17.04</t>
        </is>
      </c>
      <c r="N210" s="16" t="inlineStr">
        <is>
          <t>PM</t>
        </is>
      </c>
    </row>
    <row r="211" ht="36.75" customHeight="1" s="36">
      <c r="A211" s="8" t="inlineStr">
        <is>
          <t>T17.06</t>
        </is>
      </c>
      <c r="B211" s="8" t="inlineStr">
        <is>
          <t>T17</t>
        </is>
      </c>
      <c r="C211" s="16" t="inlineStr">
        <is>
          <t>Repository and reproducibility</t>
        </is>
      </c>
      <c r="D211" s="16" t="inlineStr">
        <is>
          <t>Decide which reference files to publish (third-party decks)</t>
        </is>
      </c>
      <c r="E211" s="16" t="inlineStr">
        <is>
          <t>Malindu</t>
        </is>
      </c>
      <c r="F211" s="16" t="inlineStr">
        <is>
          <t>Done</t>
        </is>
      </c>
      <c r="G211" s="16" t="inlineStr">
        <is>
          <t>Week 3</t>
        </is>
      </c>
      <c r="H211" s="14" t="n"/>
      <c r="I211" s="16" t="inlineStr">
        <is>
          <t>.gitignore rule: decks kept local, removed from history</t>
        </is>
      </c>
      <c r="J211" s="16" t="n"/>
      <c r="K211" s="16" t="inlineStr">
        <is>
          <t>.gitignore rule: decks kept local, removed from history</t>
        </is>
      </c>
      <c r="L211" s="16" t="inlineStr">
        <is>
          <t>Medium</t>
        </is>
      </c>
      <c r="M211" s="16" t="inlineStr">
        <is>
          <t>—</t>
        </is>
      </c>
      <c r="N211" s="16" t="inlineStr">
        <is>
          <t>REV</t>
        </is>
      </c>
    </row>
    <row r="212" ht="36.75" customHeight="1" s="36">
      <c r="A212" s="8" t="inlineStr">
        <is>
          <t>T17.07</t>
        </is>
      </c>
      <c r="B212" s="8" t="inlineStr">
        <is>
          <t>T17</t>
        </is>
      </c>
      <c r="C212" s="16" t="inlineStr">
        <is>
          <t>Repository and reproducibility</t>
        </is>
      </c>
      <c r="D212" s="16" t="inlineStr">
        <is>
          <t>Optional: deploy to Streamlit Community Cloud</t>
        </is>
      </c>
      <c r="E212" s="16" t="inlineStr">
        <is>
          <t>Malindu</t>
        </is>
      </c>
      <c r="F212" s="16" t="inlineStr">
        <is>
          <t>Not Started</t>
        </is>
      </c>
      <c r="G212" s="16" t="inlineStr">
        <is>
          <t>Week 3</t>
        </is>
      </c>
      <c r="H212" s="14" t="n"/>
      <c r="I212" s="16" t="n"/>
      <c r="J212" s="16" t="n"/>
      <c r="K212" s="16" t="inlineStr">
        <is>
          <t>Public app URL (D16)</t>
        </is>
      </c>
      <c r="L212" s="16" t="inlineStr">
        <is>
          <t>Low</t>
        </is>
      </c>
      <c r="M212" s="16" t="inlineStr">
        <is>
          <t>T17.04</t>
        </is>
      </c>
      <c r="N212" s="16" t="inlineStr">
        <is>
          <t>BR p.6 · DEC D16</t>
        </is>
      </c>
    </row>
    <row r="213" ht="36.75" customHeight="1" s="36">
      <c r="A213" s="8" t="inlineStr">
        <is>
          <t>T17.08</t>
        </is>
      </c>
      <c r="B213" s="8" t="inlineStr">
        <is>
          <t>T17</t>
        </is>
      </c>
      <c r="C213" s="16" t="inlineStr">
        <is>
          <t>Repository and reproducibility</t>
        </is>
      </c>
      <c r="D213" s="16" t="inlineStr">
        <is>
          <t>First git commit and judge-accessible GitHub remote</t>
        </is>
      </c>
      <c r="E213" s="16" t="inlineStr">
        <is>
          <t>Malindu</t>
        </is>
      </c>
      <c r="F213" s="16" t="inlineStr">
        <is>
          <t>Done</t>
        </is>
      </c>
      <c r="G213" s="16" t="inlineStr">
        <is>
          <t>Week 3</t>
        </is>
      </c>
      <c r="H213" s="14" t="n"/>
      <c r="I213" s="16" t="inlineStr">
        <is>
          <t>GitHub remote, branch version-1 pushed; URL in README</t>
        </is>
      </c>
      <c r="J213" s="16" t="n"/>
      <c r="K213" s="16" t="inlineStr">
        <is>
          <t>GitHub remote, branch version-1 pushed; URL in README</t>
        </is>
      </c>
      <c r="L213" s="16" t="inlineStr">
        <is>
          <t>Critical</t>
        </is>
      </c>
      <c r="M213" s="16" t="inlineStr">
        <is>
          <t>T17.06</t>
        </is>
      </c>
      <c r="N213" s="16" t="inlineStr">
        <is>
          <t>BR p.6 · Review</t>
        </is>
      </c>
    </row>
    <row r="214" ht="36.75" customHeight="1" s="36">
      <c r="A214" s="8" t="inlineStr">
        <is>
          <t>T17.09</t>
        </is>
      </c>
      <c r="B214" s="8" t="inlineStr">
        <is>
          <t>T17</t>
        </is>
      </c>
      <c r="C214" s="16" t="inlineStr">
        <is>
          <t>Repository and reproducibility</t>
        </is>
      </c>
      <c r="D214" s="16" t="inlineStr">
        <is>
          <t>Make research evidence reproducible from the one-command run (run_all --research)</t>
        </is>
      </c>
      <c r="E214" s="16" t="inlineStr">
        <is>
          <t>Malindu</t>
        </is>
      </c>
      <c r="F214" s="16" t="inlineStr">
        <is>
          <t>Not Started</t>
        </is>
      </c>
      <c r="G214" s="16" t="inlineStr">
        <is>
          <t>Week 3</t>
        </is>
      </c>
      <c r="H214" s="14" t="n"/>
      <c r="I214" s="16" t="n"/>
      <c r="J214" s="16" t="n"/>
      <c r="K214" s="16" t="inlineStr">
        <is>
          <t>run_all flag + README</t>
        </is>
      </c>
      <c r="L214" s="16" t="inlineStr">
        <is>
          <t>High</t>
        </is>
      </c>
      <c r="M214" s="16" t="inlineStr">
        <is>
          <t>T17.03</t>
        </is>
      </c>
      <c r="N214" s="16" t="inlineStr">
        <is>
          <t>Review: scripts/ not in pipeline</t>
        </is>
      </c>
    </row>
    <row r="215" ht="36.75" customHeight="1" s="36">
      <c r="A215" s="8" t="inlineStr">
        <is>
          <t>T18.01</t>
        </is>
      </c>
      <c r="B215" s="8" t="inlineStr">
        <is>
          <t>T18</t>
        </is>
      </c>
      <c r="C215" s="16" t="inlineStr">
        <is>
          <t>AI disclosure and validation log</t>
        </is>
      </c>
      <c r="D215" s="16" t="inlineStr">
        <is>
          <t>Keep a running list of AI tools and their purposes</t>
        </is>
      </c>
      <c r="E215" s="16" t="inlineStr">
        <is>
          <t>Malindu</t>
        </is>
      </c>
      <c r="F215" s="16" t="inlineStr">
        <is>
          <t>In Progress</t>
        </is>
      </c>
      <c r="G215" s="16" t="inlineStr">
        <is>
          <t>Ongoing</t>
        </is>
      </c>
      <c r="H215" s="14" t="n"/>
      <c r="I215" s="16" t="n"/>
      <c r="J215" s="16" t="n"/>
      <c r="K215" s="16" t="inlineStr">
        <is>
          <t>AI_DISCLOSURE.md rows</t>
        </is>
      </c>
      <c r="L215" s="16" t="inlineStr">
        <is>
          <t>Critical</t>
        </is>
      </c>
      <c r="M215" s="16" t="inlineStr">
        <is>
          <t>—</t>
        </is>
      </c>
      <c r="N215" s="16" t="inlineStr">
        <is>
          <t>PM · BR p.8</t>
        </is>
      </c>
    </row>
    <row r="216" ht="36.75" customHeight="1" s="36">
      <c r="A216" s="8" t="inlineStr">
        <is>
          <t>T18.02</t>
        </is>
      </c>
      <c r="B216" s="8" t="inlineStr">
        <is>
          <t>T18</t>
        </is>
      </c>
      <c r="C216" s="16" t="inlineStr">
        <is>
          <t>AI disclosure and validation log</t>
        </is>
      </c>
      <c r="D216" s="16" t="inlineStr">
        <is>
          <t>Record which code, figures or text used AI assistance</t>
        </is>
      </c>
      <c r="E216" s="16" t="inlineStr">
        <is>
          <t>Malindu</t>
        </is>
      </c>
      <c r="F216" s="16" t="inlineStr">
        <is>
          <t>In Progress</t>
        </is>
      </c>
      <c r="G216" s="16" t="inlineStr">
        <is>
          <t>Ongoing</t>
        </is>
      </c>
      <c r="H216" s="14" t="n"/>
      <c r="I216" s="16" t="n"/>
      <c r="J216" s="16" t="n"/>
      <c r="K216" s="16" t="inlineStr">
        <is>
          <t>Material components column</t>
        </is>
      </c>
      <c r="L216" s="16" t="inlineStr">
        <is>
          <t>Critical</t>
        </is>
      </c>
      <c r="M216" s="16" t="inlineStr">
        <is>
          <t>—</t>
        </is>
      </c>
      <c r="N216" s="16" t="inlineStr">
        <is>
          <t>PM · BR p.8</t>
        </is>
      </c>
    </row>
    <row r="217" ht="36.75" customHeight="1" s="36">
      <c r="A217" s="8" t="inlineStr">
        <is>
          <t>T18.03</t>
        </is>
      </c>
      <c r="B217" s="8" t="inlineStr">
        <is>
          <t>T18</t>
        </is>
      </c>
      <c r="C217" s="16" t="inlineStr">
        <is>
          <t>AI disclosure and validation log</t>
        </is>
      </c>
      <c r="D217" s="16" t="inlineStr">
        <is>
          <t>Document manual verification, corrections and tests</t>
        </is>
      </c>
      <c r="E217" s="16" t="inlineStr">
        <is>
          <t>Malindu</t>
        </is>
      </c>
      <c r="F217" s="16" t="inlineStr">
        <is>
          <t>In Progress</t>
        </is>
      </c>
      <c r="G217" s="16" t="inlineStr">
        <is>
          <t>Ongoing</t>
        </is>
      </c>
      <c r="H217" s="14" t="n"/>
      <c r="I217" s="16" t="n"/>
      <c r="J217" s="16" t="n"/>
      <c r="K217" s="16" t="inlineStr">
        <is>
          <t>HUMAN_VALIDATION_LOG.md</t>
        </is>
      </c>
      <c r="L217" s="16" t="inlineStr">
        <is>
          <t>Critical</t>
        </is>
      </c>
      <c r="M217" s="16" t="inlineStr">
        <is>
          <t>—</t>
        </is>
      </c>
      <c r="N217" s="16" t="inlineStr">
        <is>
          <t>PM · BR p.8</t>
        </is>
      </c>
    </row>
    <row r="218" ht="36.75" customHeight="1" s="36">
      <c r="A218" s="8" t="inlineStr">
        <is>
          <t>T18.04</t>
        </is>
      </c>
      <c r="B218" s="8" t="inlineStr">
        <is>
          <t>T18</t>
        </is>
      </c>
      <c r="C218" s="16" t="inlineStr">
        <is>
          <t>AI disclosure and validation log</t>
        </is>
      </c>
      <c r="D218" s="16" t="inlineStr">
        <is>
          <t>Review completeness of the log before submission</t>
        </is>
      </c>
      <c r="E218" s="16" t="inlineStr">
        <is>
          <t>Malindu</t>
        </is>
      </c>
      <c r="F218" s="16" t="inlineStr">
        <is>
          <t>Not Started</t>
        </is>
      </c>
      <c r="G218" s="16" t="inlineStr">
        <is>
          <t>Ongoing</t>
        </is>
      </c>
      <c r="H218" s="14" t="n"/>
      <c r="I218" s="16" t="n"/>
      <c r="J218" s="16" t="n"/>
      <c r="K218" s="16" t="inlineStr">
        <is>
          <t>Signed-off log</t>
        </is>
      </c>
      <c r="L218" s="16" t="inlineStr">
        <is>
          <t>Critical</t>
        </is>
      </c>
      <c r="M218" s="16" t="inlineStr">
        <is>
          <t>T18.01–T18.03</t>
        </is>
      </c>
      <c r="N218" s="16" t="inlineStr">
        <is>
          <t>PM</t>
        </is>
      </c>
    </row>
    <row r="219" ht="36.75" customHeight="1" s="36">
      <c r="A219" s="8" t="inlineStr">
        <is>
          <t>T18.05</t>
        </is>
      </c>
      <c r="B219" s="8" t="inlineStr">
        <is>
          <t>T18</t>
        </is>
      </c>
      <c r="C219" s="16" t="inlineStr">
        <is>
          <t>AI disclosure and validation log</t>
        </is>
      </c>
      <c r="D219" s="16" t="inlineStr">
        <is>
          <t>Use the brief's four disclosure columns exactly</t>
        </is>
      </c>
      <c r="E219" s="16" t="inlineStr">
        <is>
          <t>Malindu</t>
        </is>
      </c>
      <c r="F219" s="16" t="inlineStr">
        <is>
          <t>Not Started</t>
        </is>
      </c>
      <c r="G219" s="16" t="inlineStr">
        <is>
          <t>Ongoing</t>
        </is>
      </c>
      <c r="H219" s="14" t="n"/>
      <c r="I219" s="16" t="n"/>
      <c r="J219" s="16" t="n"/>
      <c r="K219" s="16" t="inlineStr">
        <is>
          <t>Tool · Purpose · Human validation · Material components</t>
        </is>
      </c>
      <c r="L219" s="16" t="inlineStr">
        <is>
          <t>High</t>
        </is>
      </c>
      <c r="M219" s="16" t="inlineStr">
        <is>
          <t>—</t>
        </is>
      </c>
      <c r="N219" s="16" t="inlineStr">
        <is>
          <t>BR p.8</t>
        </is>
      </c>
    </row>
    <row r="220" ht="36.75" customHeight="1" s="36">
      <c r="A220" s="8" t="inlineStr">
        <is>
          <t>T18.06</t>
        </is>
      </c>
      <c r="B220" s="8" t="inlineStr">
        <is>
          <t>T18</t>
        </is>
      </c>
      <c r="C220" s="16" t="inlineStr">
        <is>
          <t>AI disclosure and validation log</t>
        </is>
      </c>
      <c r="D220" s="16" t="inlineStr">
        <is>
          <t>Every member can explain each module (judging rule)</t>
        </is>
      </c>
      <c r="E220" s="16" t="inlineStr">
        <is>
          <t>All members</t>
        </is>
      </c>
      <c r="F220" s="16" t="inlineStr">
        <is>
          <t>Not Started</t>
        </is>
      </c>
      <c r="G220" s="16" t="inlineStr">
        <is>
          <t>Ongoing</t>
        </is>
      </c>
      <c r="H220" s="14" t="n"/>
      <c r="I220" s="16" t="n"/>
      <c r="J220" s="16" t="n"/>
      <c r="K220" s="16" t="inlineStr">
        <is>
          <t>Walk-through sessions per stage</t>
        </is>
      </c>
      <c r="L220" s="16" t="inlineStr">
        <is>
          <t>High</t>
        </is>
      </c>
      <c r="M220" s="16" t="inlineStr">
        <is>
          <t>each stage</t>
        </is>
      </c>
      <c r="N220" s="16" t="inlineStr">
        <is>
          <t>BR p.9</t>
        </is>
      </c>
    </row>
    <row r="221" ht="36.75" customHeight="1" s="36">
      <c r="A221" s="8" t="inlineStr">
        <is>
          <t>T18.07</t>
        </is>
      </c>
      <c r="B221" s="8" t="inlineStr">
        <is>
          <t>T18</t>
        </is>
      </c>
      <c r="C221" s="16" t="inlineStr">
        <is>
          <t>AI disclosure and validation log</t>
        </is>
      </c>
      <c r="D221" s="16" t="inlineStr">
        <is>
          <t>Record Claude Code use to date in the brief's four columns (tool, purpose, human validation, material components)</t>
        </is>
      </c>
      <c r="E221" s="16" t="inlineStr">
        <is>
          <t>Malindu</t>
        </is>
      </c>
      <c r="F221" s="16" t="inlineStr">
        <is>
          <t>In Progress</t>
        </is>
      </c>
      <c r="G221" s="16" t="inlineStr">
        <is>
          <t>Ongoing</t>
        </is>
      </c>
      <c r="H221" s="14" t="n"/>
      <c r="I221" s="16" t="n"/>
      <c r="J221" s="16" t="n"/>
      <c r="K221" s="16" t="inlineStr">
        <is>
          <t>AI_DISCLOSURE.md entries (team to review)</t>
        </is>
      </c>
      <c r="L221" s="16" t="inlineStr">
        <is>
          <t>Critical</t>
        </is>
      </c>
      <c r="M221" s="16" t="inlineStr">
        <is>
          <t>—</t>
        </is>
      </c>
      <c r="N221" s="16" t="inlineStr">
        <is>
          <t>BR p.8 · Review</t>
        </is>
      </c>
    </row>
    <row r="222" ht="36.75" customHeight="1" s="36">
      <c r="A222" s="8" t="inlineStr">
        <is>
          <t>T18.08</t>
        </is>
      </c>
      <c r="B222" s="8" t="inlineStr">
        <is>
          <t>T18</t>
        </is>
      </c>
      <c r="C222" s="16" t="inlineStr">
        <is>
          <t>AI disclosure and validation log</t>
        </is>
      </c>
      <c r="D222" s="16" t="inlineStr">
        <is>
          <t>Team sign-off of every HUMAN_VALIDATION_LOG entry (9 unsigned on 2026-10-28)</t>
        </is>
      </c>
      <c r="E222" s="16" t="inlineStr">
        <is>
          <t>All members</t>
        </is>
      </c>
      <c r="F222" s="16" t="inlineStr">
        <is>
          <t>Not Started</t>
        </is>
      </c>
      <c r="G222" s="16" t="inlineStr">
        <is>
          <t>Ongoing</t>
        </is>
      </c>
      <c r="H222" s="14" t="n"/>
      <c r="I222" s="16" t="n"/>
      <c r="J222" s="16" t="n"/>
      <c r="K222" s="16" t="inlineStr">
        <is>
          <t>Signed log</t>
        </is>
      </c>
      <c r="L222" s="16" t="inlineStr">
        <is>
          <t>Critical</t>
        </is>
      </c>
      <c r="M222" s="16" t="inlineStr">
        <is>
          <t>—</t>
        </is>
      </c>
      <c r="N222" s="16" t="inlineStr">
        <is>
          <t>BR p.8–9</t>
        </is>
      </c>
    </row>
    <row r="223" ht="36.75" customHeight="1" s="36">
      <c r="A223" s="8" t="inlineStr">
        <is>
          <t>T19.01</t>
        </is>
      </c>
      <c r="B223" s="8" t="inlineStr">
        <is>
          <t>T19</t>
        </is>
      </c>
      <c r="C223" s="16" t="inlineStr">
        <is>
          <t>Pitch and Q&amp;A prep</t>
        </is>
      </c>
      <c r="D223" s="16" t="inlineStr">
        <is>
          <t>Create a 10–12 minute presentation storyline and deck</t>
        </is>
      </c>
      <c r="E223" s="16" t="inlineStr">
        <is>
          <t>All members</t>
        </is>
      </c>
      <c r="F223" s="16" t="inlineStr">
        <is>
          <t>Not Started</t>
        </is>
      </c>
      <c r="G223" s="16" t="inlineStr">
        <is>
          <t>If finalist</t>
        </is>
      </c>
      <c r="H223" s="14" t="n"/>
      <c r="I223" s="16" t="n"/>
      <c r="J223" s="16" t="n"/>
      <c r="K223" s="16" t="inlineStr">
        <is>
          <t>Deck</t>
        </is>
      </c>
      <c r="L223" s="16" t="inlineStr">
        <is>
          <t>Medium</t>
        </is>
      </c>
      <c r="M223" s="16" t="inlineStr">
        <is>
          <t>T16.04</t>
        </is>
      </c>
      <c r="N223" s="16" t="inlineStr">
        <is>
          <t>PM · BR p.6</t>
        </is>
      </c>
    </row>
    <row r="224" ht="36.75" customHeight="1" s="36">
      <c r="A224" s="8" t="inlineStr">
        <is>
          <t>T19.02</t>
        </is>
      </c>
      <c r="B224" s="8" t="inlineStr">
        <is>
          <t>T19</t>
        </is>
      </c>
      <c r="C224" s="16" t="inlineStr">
        <is>
          <t>Pitch and Q&amp;A prep</t>
        </is>
      </c>
      <c r="D224" s="16" t="inlineStr">
        <is>
          <t>Assign presenters and rehearse timing</t>
        </is>
      </c>
      <c r="E224" s="16" t="inlineStr">
        <is>
          <t>All members</t>
        </is>
      </c>
      <c r="F224" s="16" t="inlineStr">
        <is>
          <t>Not Started</t>
        </is>
      </c>
      <c r="G224" s="16" t="inlineStr">
        <is>
          <t>If finalist</t>
        </is>
      </c>
      <c r="H224" s="14" t="n"/>
      <c r="I224" s="16" t="n"/>
      <c r="J224" s="16" t="n"/>
      <c r="K224" s="16" t="inlineStr">
        <is>
          <t>Rehearsal plan</t>
        </is>
      </c>
      <c r="L224" s="16" t="inlineStr">
        <is>
          <t>Medium</t>
        </is>
      </c>
      <c r="M224" s="16" t="inlineStr">
        <is>
          <t>T19.01</t>
        </is>
      </c>
      <c r="N224" s="16" t="inlineStr">
        <is>
          <t>PM</t>
        </is>
      </c>
    </row>
    <row r="225" ht="36.75" customHeight="1" s="36">
      <c r="A225" s="8" t="inlineStr">
        <is>
          <t>T19.03</t>
        </is>
      </c>
      <c r="B225" s="8" t="inlineStr">
        <is>
          <t>T19</t>
        </is>
      </c>
      <c r="C225" s="16" t="inlineStr">
        <is>
          <t>Pitch and Q&amp;A prep</t>
        </is>
      </c>
      <c r="D225" s="16" t="inlineStr">
        <is>
          <t>Prepare judges’ Q&amp;A on assumptions, VaR and crisis results</t>
        </is>
      </c>
      <c r="E225" s="16" t="inlineStr">
        <is>
          <t>All members</t>
        </is>
      </c>
      <c r="F225" s="16" t="inlineStr">
        <is>
          <t>Not Started</t>
        </is>
      </c>
      <c r="G225" s="16" t="inlineStr">
        <is>
          <t>If finalist</t>
        </is>
      </c>
      <c r="H225" s="14" t="n"/>
      <c r="I225" s="16" t="n"/>
      <c r="J225" s="16" t="n"/>
      <c r="K225" s="16" t="inlineStr">
        <is>
          <t>Q&amp;A bank</t>
        </is>
      </c>
      <c r="L225" s="16" t="inlineStr">
        <is>
          <t>Medium</t>
        </is>
      </c>
      <c r="M225" s="16" t="inlineStr">
        <is>
          <t>T19.01</t>
        </is>
      </c>
      <c r="N225" s="16" t="inlineStr">
        <is>
          <t>PM</t>
        </is>
      </c>
    </row>
    <row r="226" ht="36.75" customHeight="1" s="36">
      <c r="A226" s="8" t="inlineStr">
        <is>
          <t>T19.04</t>
        </is>
      </c>
      <c r="B226" s="8" t="inlineStr">
        <is>
          <t>T19</t>
        </is>
      </c>
      <c r="C226" s="16" t="inlineStr">
        <is>
          <t>Pitch and Q&amp;A prep</t>
        </is>
      </c>
      <c r="D226" s="16" t="inlineStr">
        <is>
          <t>Run mock Q&amp;A and refine explanations</t>
        </is>
      </c>
      <c r="E226" s="16" t="inlineStr">
        <is>
          <t>All members</t>
        </is>
      </c>
      <c r="F226" s="16" t="inlineStr">
        <is>
          <t>Not Started</t>
        </is>
      </c>
      <c r="G226" s="16" t="inlineStr">
        <is>
          <t>If finalist</t>
        </is>
      </c>
      <c r="H226" s="14" t="n"/>
      <c r="I226" s="16" t="n"/>
      <c r="J226" s="16" t="n"/>
      <c r="K226" s="16" t="inlineStr">
        <is>
          <t>Mock session notes</t>
        </is>
      </c>
      <c r="L226" s="16" t="inlineStr">
        <is>
          <t>Medium</t>
        </is>
      </c>
      <c r="M226" s="16" t="inlineStr">
        <is>
          <t>T19.03</t>
        </is>
      </c>
      <c r="N226" s="16" t="inlineStr">
        <is>
          <t>PM</t>
        </is>
      </c>
    </row>
    <row r="227" ht="36.75" customHeight="1" s="36">
      <c r="A227" s="8" t="inlineStr">
        <is>
          <t>T20.01</t>
        </is>
      </c>
      <c r="B227" s="8" t="inlineStr">
        <is>
          <t>T20</t>
        </is>
      </c>
      <c r="C227" s="16" t="inlineStr">
        <is>
          <t>Decision gate &amp; final recommendation (P3)</t>
        </is>
      </c>
      <c r="D227" s="16" t="inlineStr">
        <is>
          <t>Assemble committee evidence: six panels (allocation, return, loss limit, tail, model trust, governance)</t>
        </is>
      </c>
      <c r="E227" s="16" t="inlineStr">
        <is>
          <t>All members</t>
        </is>
      </c>
      <c r="F227" s="16" t="inlineStr">
        <is>
          <t>Done</t>
        </is>
      </c>
      <c r="G227" s="16" t="inlineStr">
        <is>
          <t>Week 3</t>
        </is>
      </c>
      <c r="H227" s="14" t="n"/>
      <c r="I227" s="16" t="inlineStr">
        <is>
          <t>evidence: T4_25 doc + p3_summary (allocation, return, loss limit, tail, model trust, governance)</t>
        </is>
      </c>
      <c r="J227" s="16" t="n"/>
      <c r="K227" s="16" t="inlineStr">
        <is>
          <t>evidence: T4_25 doc + p3_summary (allocation, return, loss limit, tail, model trust, governance)</t>
        </is>
      </c>
      <c r="L227" s="16" t="inlineStr">
        <is>
          <t>Critical</t>
        </is>
      </c>
      <c r="M227" s="16" t="inlineStr">
        <is>
          <t>T5.05, T8.05, T10.07, T11.10</t>
        </is>
      </c>
      <c r="N227" s="16" t="inlineStr">
        <is>
          <t>FJ VD07 · masterclass</t>
        </is>
      </c>
    </row>
    <row r="228" ht="36.75" customHeight="1" s="36">
      <c r="A228" s="8" t="inlineStr">
        <is>
          <t>T20.02</t>
        </is>
      </c>
      <c r="B228" s="8" t="inlineStr">
        <is>
          <t>T20</t>
        </is>
      </c>
      <c r="C228" s="16" t="inlineStr">
        <is>
          <t>Decision gate &amp; final recommendation (P3)</t>
        </is>
      </c>
      <c r="D228" s="16" t="inlineStr">
        <is>
          <t>Suitability gate: validated and within client limits?</t>
        </is>
      </c>
      <c r="E228" s="16" t="inlineStr">
        <is>
          <t>All members</t>
        </is>
      </c>
      <c r="F228" s="16" t="inlineStr">
        <is>
          <t>Done</t>
        </is>
      </c>
      <c r="G228" s="16" t="inlineStr">
        <is>
          <t>Week 3</t>
        </is>
      </c>
      <c r="H228" s="14" t="n"/>
      <c r="I228" s="16" t="inlineStr">
        <is>
          <t>suitability gate: T4_25 §3 conditions; O6 passes all mandatory</t>
        </is>
      </c>
      <c r="J228" s="16" t="n"/>
      <c r="K228" s="16" t="inlineStr">
        <is>
          <t>suitability gate: T4_25 §3 conditions; O6 passes all mandatory</t>
        </is>
      </c>
      <c r="L228" s="16" t="inlineStr">
        <is>
          <t>Critical</t>
        </is>
      </c>
      <c r="M228" s="16" t="inlineStr">
        <is>
          <t>T20.01, T3.09</t>
        </is>
      </c>
      <c r="N228" s="16" t="inlineStr">
        <is>
          <t>FJ VD08</t>
        </is>
      </c>
    </row>
    <row r="229" ht="36.75" customHeight="1" s="36">
      <c r="A229" s="8" t="inlineStr">
        <is>
          <t>T20.03</t>
        </is>
      </c>
      <c r="B229" s="8" t="inlineStr">
        <is>
          <t>T20</t>
        </is>
      </c>
      <c r="C229" s="16" t="inlineStr">
        <is>
          <t>Decision gate &amp; final recommendation (P3)</t>
        </is>
      </c>
      <c r="D229" s="16" t="inlineStr">
        <is>
          <t>Revise &amp; retest loop when the gate fails</t>
        </is>
      </c>
      <c r="E229" s="16" t="inlineStr">
        <is>
          <t>All members</t>
        </is>
      </c>
      <c r="F229" s="16" t="inlineStr">
        <is>
          <t>Done</t>
        </is>
      </c>
      <c r="G229" s="16" t="inlineStr">
        <is>
          <t>Week 3</t>
        </is>
      </c>
      <c r="H229" s="14" t="n"/>
      <c r="I229" s="16" t="inlineStr">
        <is>
          <t>revise &amp; retest loop: audit 2026-10-29 (D31 withdrawn → D31 v2, D32, D33)</t>
        </is>
      </c>
      <c r="J229" s="16" t="n"/>
      <c r="K229" s="16" t="inlineStr">
        <is>
          <t>revise &amp; retest loop: audit 2026-10-29 (D31 withdrawn → D31 v2, D32, D33)</t>
        </is>
      </c>
      <c r="L229" s="16" t="inlineStr">
        <is>
          <t>High</t>
        </is>
      </c>
      <c r="M229" s="16" t="inlineStr">
        <is>
          <t>T20.02</t>
        </is>
      </c>
      <c r="N229" s="16" t="inlineStr">
        <is>
          <t>FJ VD09</t>
        </is>
      </c>
    </row>
    <row r="230" ht="36.75" customHeight="1" s="36">
      <c r="A230" s="8" t="inlineStr">
        <is>
          <t>T20.04</t>
        </is>
      </c>
      <c r="B230" s="8" t="inlineStr">
        <is>
          <t>T20</t>
        </is>
      </c>
      <c r="C230" s="16" t="inlineStr">
        <is>
          <t>Decision gate &amp; final recommendation (P3)</t>
        </is>
      </c>
      <c r="D230" s="16" t="inlineStr">
        <is>
          <t>Final P3 recommendation: weights, horizon, expected real return, downside</t>
        </is>
      </c>
      <c r="E230" s="16" t="inlineStr">
        <is>
          <t>All members</t>
        </is>
      </c>
      <c r="F230" s="16" t="inlineStr">
        <is>
          <t>Done</t>
        </is>
      </c>
      <c r="G230" s="16" t="inlineStr">
        <is>
          <t>Week 3</t>
        </is>
      </c>
      <c r="H230" s="14" t="n"/>
      <c r="I230" s="16" t="inlineStr">
        <is>
          <t>decision stage → outputs/p3_decision (O6: AGG 61.1, SPY 18.4, XLK 10, EFA 7.2, XLE 3.0, GLD 0.4; 5.80%, $265k spending)</t>
        </is>
      </c>
      <c r="J230" s="16" t="n"/>
      <c r="K230" s="16" t="inlineStr">
        <is>
          <t>decision stage → outputs/p3_decision (O6: AGG 61.1, SPY 18.4, XLK 10, EFA 7.2, XLE 3.0, GLD 0.4; 5.80%, $265k spending)</t>
        </is>
      </c>
      <c r="L230" s="16" t="inlineStr">
        <is>
          <t>Critical</t>
        </is>
      </c>
      <c r="M230" s="16" t="inlineStr">
        <is>
          <t>T20.02</t>
        </is>
      </c>
      <c r="N230" s="16" t="inlineStr">
        <is>
          <t>FJ VD10 · BR p.8</t>
        </is>
      </c>
    </row>
    <row r="231" ht="36.75" customHeight="1" s="36">
      <c r="A231" s="8" t="inlineStr">
        <is>
          <t>T20.05</t>
        </is>
      </c>
      <c r="B231" s="8" t="inlineStr">
        <is>
          <t>T20</t>
        </is>
      </c>
      <c r="C231" s="16" t="inlineStr">
        <is>
          <t>Decision gate &amp; final recommendation (P3)</t>
        </is>
      </c>
      <c r="D231" s="16" t="inlineStr">
        <is>
          <t>Monitoring triggers and exit / de-risking rules</t>
        </is>
      </c>
      <c r="E231" s="16" t="inlineStr">
        <is>
          <t>All members</t>
        </is>
      </c>
      <c r="F231" s="16" t="inlineStr">
        <is>
          <t>Done</t>
        </is>
      </c>
      <c r="G231" s="16" t="inlineStr">
        <is>
          <t>Week 3</t>
        </is>
      </c>
      <c r="H231" s="14" t="n"/>
      <c r="I231" s="16" t="inlineStr">
        <is>
          <t>p3_triggers.csv: D23 ladder + Basel model check + quarterly rebalance + annual review</t>
        </is>
      </c>
      <c r="J231" s="16" t="n"/>
      <c r="K231" s="16" t="inlineStr">
        <is>
          <t>p3_triggers.csv: D23 ladder + Basel model check + quarterly rebalance + annual review</t>
        </is>
      </c>
      <c r="L231" s="16" t="inlineStr">
        <is>
          <t>High</t>
        </is>
      </c>
      <c r="M231" s="16" t="inlineStr">
        <is>
          <t>T20.04</t>
        </is>
      </c>
      <c r="N231" s="16" t="inlineStr">
        <is>
          <t>FJ VD10</t>
        </is>
      </c>
    </row>
    <row r="232" ht="36.75" customHeight="1" s="36">
      <c r="A232" s="8" t="inlineStr">
        <is>
          <t>T20.06</t>
        </is>
      </c>
      <c r="B232" s="8" t="inlineStr">
        <is>
          <t>T20</t>
        </is>
      </c>
      <c r="C232" s="16" t="inlineStr">
        <is>
          <t>Decision gate &amp; final recommendation (P3)</t>
        </is>
      </c>
      <c r="D232" s="16" t="inlineStr">
        <is>
          <t>Drawdown ↔ spending trade-off table in memo and app</t>
        </is>
      </c>
      <c r="E232" s="16" t="inlineStr">
        <is>
          <t>All members</t>
        </is>
      </c>
      <c r="F232" s="16" t="inlineStr">
        <is>
          <t>Done</t>
        </is>
      </c>
      <c r="G232" s="16" t="inlineStr">
        <is>
          <t>Week 3</t>
        </is>
      </c>
      <c r="H232" s="14" t="n"/>
      <c r="I232" s="16" t="inlineStr">
        <is>
          <t>p3_tradeoff.csv: frontier spending vs drawdown vs P(DD), O6 marked (app widget pending T14)</t>
        </is>
      </c>
      <c r="J232" s="16" t="n"/>
      <c r="K232" s="16" t="inlineStr">
        <is>
          <t>p3_tradeoff.csv: frontier spending vs drawdown vs P(DD), O6 marked (app widget pending T14)</t>
        </is>
      </c>
      <c r="L232" s="16" t="inlineStr">
        <is>
          <t>High</t>
        </is>
      </c>
      <c r="M232" s="16" t="inlineStr">
        <is>
          <t>T3.19</t>
        </is>
      </c>
      <c r="N232" s="16" t="inlineStr">
        <is>
          <t>Research §4</t>
        </is>
      </c>
    </row>
    <row r="233" ht="36.75" customHeight="1" s="36">
      <c r="A233" s="8" t="inlineStr">
        <is>
          <t>T20.07</t>
        </is>
      </c>
      <c r="B233" s="8" t="inlineStr">
        <is>
          <t>T20</t>
        </is>
      </c>
      <c r="C233" s="16" t="inlineStr">
        <is>
          <t>Decision gate &amp; final recommendation (P3)</t>
        </is>
      </c>
      <c r="D233" s="16" t="inlineStr">
        <is>
          <t>Walk-forward (rolling-origin) validation of the selection rule (O1 vs O2), origins 2009–2021, CMA as of each origin</t>
        </is>
      </c>
      <c r="E233" s="16" t="inlineStr">
        <is>
          <t>Malindu</t>
        </is>
      </c>
      <c r="F233" s="16" t="inlineStr">
        <is>
          <t>Done</t>
        </is>
      </c>
      <c r="G233" s="16" t="inlineStr">
        <is>
          <t>Week 3</t>
        </is>
      </c>
      <c r="H233" s="14" t="n"/>
      <c r="I233" s="16" t="inlineStr">
        <is>
          <t>research_walkforward_*.csv: 6 origins 2008–2023; D7 drawdown held every segment; chained 7.3%/yr, Sharpe 0.89, DD −16.4% (policy 0.75, −19.2%); D27×D7 conflict at 2008/2011 noted</t>
        </is>
      </c>
      <c r="J233" s="16" t="n"/>
      <c r="K233" s="16" t="inlineStr">
        <is>
          <t>research_walkforward_*.csv: 6 origins 2008–2023; D7 drawdown held every segment; chained 7.3%/yr, Sharpe 0.89, DD −16.4% (policy 0.75, −19.2%); D27×D7 conflict at 2008/2011 noted</t>
        </is>
      </c>
      <c r="L233" s="16" t="inlineStr">
        <is>
          <t>Critical</t>
        </is>
      </c>
      <c r="M233" s="16" t="inlineStr">
        <is>
          <t>T4.25</t>
        </is>
      </c>
      <c r="N233" s="16" t="inlineStr">
        <is>
          <t>Selection-bias precaution 2026-10-29</t>
        </is>
      </c>
    </row>
    <row r="234" ht="36.75" customHeight="1" s="36">
      <c r="A234" s="8" t="inlineStr">
        <is>
          <t>T20.08</t>
        </is>
      </c>
      <c r="B234" s="8" t="inlineStr">
        <is>
          <t>T20</t>
        </is>
      </c>
      <c r="C234" s="16" t="inlineStr">
        <is>
          <t>Decision gate &amp; final recommendation (P3)</t>
        </is>
      </c>
      <c r="D234" s="16" t="inlineStr">
        <is>
          <t>Recalibrate D23 rolling-ES99 watch trigger (fires on 26% of days at 2.0%)</t>
        </is>
      </c>
      <c r="E234" s="16" t="inlineStr">
        <is>
          <t>All members</t>
        </is>
      </c>
      <c r="F234" s="16" t="inlineStr">
        <is>
          <t>Done</t>
        </is>
      </c>
      <c r="G234" s="16" t="inlineStr">
        <is>
          <t>Week 3</t>
        </is>
      </c>
      <c r="H234" s="14" t="n"/>
      <c r="I234" s="16" t="inlineStr">
        <is>
          <t>Approved 2026-10-30: watch rolling ES99 2.5% (was 2.0%; 20% → 9.6% of days)</t>
        </is>
      </c>
      <c r="J234" s="16" t="n"/>
      <c r="K234" s="16" t="inlineStr">
        <is>
          <t>Approved 2026-10-30: watch rolling ES99 2.5% (was 2.0%; 20% → 9.6% of days)</t>
        </is>
      </c>
      <c r="L234" s="16" t="inlineStr">
        <is>
          <t>Medium</t>
        </is>
      </c>
      <c r="M234" s="16" t="inlineStr">
        <is>
          <t>T10.12</t>
        </is>
      </c>
      <c r="N234" s="16" t="inlineStr">
        <is>
          <t>Limit-stability finding 2026-10-29</t>
        </is>
      </c>
    </row>
    <row r="235" ht="36.75" customHeight="1" s="36">
      <c r="A235" s="8" t="inlineStr">
        <is>
          <t>T20.09</t>
        </is>
      </c>
      <c r="B235" s="8" t="inlineStr">
        <is>
          <t>T20</t>
        </is>
      </c>
      <c r="C235" s="16" t="inlineStr">
        <is>
          <t>Decision gate &amp; final recommendation (P3)</t>
        </is>
      </c>
      <c r="D235" s="16" t="inlineStr">
        <is>
          <t>Endowment sustainability &amp; recovery stress test: 15/20/25% falls, 1/3/5/7-year and lost-decade recoveries, D24 at 2.8%, costs, taxes, inflation; market view; bootstrap</t>
        </is>
      </c>
      <c r="E235" s="16" t="inlineStr">
        <is>
          <t>All members</t>
        </is>
      </c>
      <c r="F235" s="16" t="inlineStr">
        <is>
          <t>Done</t>
        </is>
      </c>
      <c r="G235" s="16" t="inlineStr">
        <is>
          <t>Week 3</t>
        </is>
      </c>
      <c r="H235" s="14" t="n"/>
      <c r="I235" s="16" t="inlineStr">
        <is>
          <t>sustainability_*.csv + research_t425_eval_sustainability_*.csv</t>
        </is>
      </c>
      <c r="J235" s="16" t="n"/>
      <c r="K235" s="16" t="inlineStr">
        <is>
          <t>sustainability_*.csv + research_t425_eval_sustainability_*.csv</t>
        </is>
      </c>
      <c r="L235" s="16" t="inlineStr">
        <is>
          <t>Critical</t>
        </is>
      </c>
      <c r="M235" s="16" t="inlineStr">
        <is>
          <t>T20.10</t>
        </is>
      </c>
      <c r="N235" s="16" t="inlineStr">
        <is>
          <t>User request 2026-10-29</t>
        </is>
      </c>
    </row>
    <row r="236" ht="36.75" customHeight="1" s="36">
      <c r="A236" s="8" t="inlineStr">
        <is>
          <t>T20.10</t>
        </is>
      </c>
      <c r="B236" s="8" t="inlineStr">
        <is>
          <t>T20</t>
        </is>
      </c>
      <c r="C236" s="16" t="inlineStr">
        <is>
          <t>Decision gate &amp; final recommendation (P3)</t>
        </is>
      </c>
      <c r="D236" s="16" t="inlineStr">
        <is>
          <t>Audit fix: 5-year drawdown test seed-tuned (4k paths) → 32k paths, block-length sensitivity; D30 2.8% propagated to hurdle and spending</t>
        </is>
      </c>
      <c r="E236" s="16" t="inlineStr">
        <is>
          <t>Malindu</t>
        </is>
      </c>
      <c r="F236" s="16" t="inlineStr">
        <is>
          <t>Done</t>
        </is>
      </c>
      <c r="G236" s="16" t="inlineStr">
        <is>
          <t>Week 3</t>
        </is>
      </c>
      <c r="H236" s="14" t="n"/>
      <c r="I236" s="16" t="inlineStr">
        <is>
          <t>Pipeline rerun, D26 re-selected</t>
        </is>
      </c>
      <c r="J236" s="16" t="n"/>
      <c r="K236" s="16" t="inlineStr">
        <is>
          <t>Pipeline rerun, D26 re-selected</t>
        </is>
      </c>
      <c r="L236" s="16" t="inlineStr">
        <is>
          <t>Critical</t>
        </is>
      </c>
      <c r="M236" s="16" t="inlineStr">
        <is>
          <t>—</t>
        </is>
      </c>
      <c r="N236" s="16" t="inlineStr">
        <is>
          <t>Audit 2026-10-29</t>
        </is>
      </c>
    </row>
    <row r="237" ht="36.75" customHeight="1" s="36">
      <c r="A237" s="8" t="inlineStr">
        <is>
          <t>T21.01</t>
        </is>
      </c>
      <c r="B237" s="8" t="inlineStr">
        <is>
          <t>T21</t>
        </is>
      </c>
      <c r="C237" s="16" t="inlineStr">
        <is>
          <t>Quality gates &amp; compliance QA</t>
        </is>
      </c>
      <c r="D237" s="16" t="inlineStr">
        <is>
          <t>Compliance check after every stage (R1–R20)</t>
        </is>
      </c>
      <c r="E237" s="16" t="inlineStr">
        <is>
          <t>Malindu</t>
        </is>
      </c>
      <c r="F237" s="16" t="inlineStr">
        <is>
          <t>In Progress</t>
        </is>
      </c>
      <c r="G237" s="16" t="inlineStr">
        <is>
          <t>Ongoing</t>
        </is>
      </c>
      <c r="H237" s="14" t="n"/>
      <c r="I237" s="16" t="n"/>
      <c r="J237" s="16" t="n"/>
      <c r="K237" s="16" t="inlineStr">
        <is>
          <t>COMPLIANCE_MATRIX.md updated</t>
        </is>
      </c>
      <c r="L237" s="16" t="inlineStr">
        <is>
          <t>Critical</t>
        </is>
      </c>
      <c r="M237" s="16" t="inlineStr">
        <is>
          <t>each stage</t>
        </is>
      </c>
      <c r="N237" s="16" t="inlineStr">
        <is>
          <t>FJ N01 governance · REV</t>
        </is>
      </c>
    </row>
    <row r="238" ht="36.75" customHeight="1" s="36">
      <c r="A238" s="8" t="inlineStr">
        <is>
          <t>T21.02</t>
        </is>
      </c>
      <c r="B238" s="8" t="inlineStr">
        <is>
          <t>T21</t>
        </is>
      </c>
      <c r="C238" s="16" t="inlineStr">
        <is>
          <t>Quality gates &amp; compliance QA</t>
        </is>
      </c>
      <c r="D238" s="16" t="inlineStr">
        <is>
          <t>Out-of-sample integrity gate: no leakage, frozen test, trial log</t>
        </is>
      </c>
      <c r="E238" s="16" t="inlineStr">
        <is>
          <t>Malindu</t>
        </is>
      </c>
      <c r="F238" s="16" t="inlineStr">
        <is>
          <t>Not Started</t>
        </is>
      </c>
      <c r="G238" s="16" t="inlineStr">
        <is>
          <t>Ongoing</t>
        </is>
      </c>
      <c r="H238" s="14" t="n"/>
      <c r="I238" s="16" t="n"/>
      <c r="J238" s="16" t="n"/>
      <c r="K238" s="16" t="inlineStr">
        <is>
          <t>Leakage tests + trial log</t>
        </is>
      </c>
      <c r="L238" s="16" t="inlineStr">
        <is>
          <t>Critical</t>
        </is>
      </c>
      <c r="M238" s="16" t="inlineStr">
        <is>
          <t>T2.13</t>
        </is>
      </c>
      <c r="N238" s="16" t="inlineStr">
        <is>
          <t>FJ OOS integrity gate</t>
        </is>
      </c>
    </row>
    <row r="239" ht="36.75" customHeight="1" s="36">
      <c r="A239" s="8" t="inlineStr">
        <is>
          <t>T21.03</t>
        </is>
      </c>
      <c r="B239" s="8" t="inlineStr">
        <is>
          <t>T21</t>
        </is>
      </c>
      <c r="C239" s="16" t="inlineStr">
        <is>
          <t>Quality gates &amp; compliance QA</t>
        </is>
      </c>
      <c r="D239" s="16" t="inlineStr">
        <is>
          <t>Calculation audit: units, signs, horizon consistent across stages</t>
        </is>
      </c>
      <c r="E239" s="16" t="inlineStr">
        <is>
          <t>Malindu</t>
        </is>
      </c>
      <c r="F239" s="16" t="inlineStr">
        <is>
          <t>Not Started</t>
        </is>
      </c>
      <c r="G239" s="16" t="inlineStr">
        <is>
          <t>Ongoing</t>
        </is>
      </c>
      <c r="H239" s="14" t="n"/>
      <c r="I239" s="16" t="n"/>
      <c r="J239" s="16" t="n"/>
      <c r="K239" s="16" t="inlineStr">
        <is>
          <t>Audit checklist vs CALCULATION_DICTIONARY.md</t>
        </is>
      </c>
      <c r="L239" s="16" t="inlineStr">
        <is>
          <t>Critical</t>
        </is>
      </c>
      <c r="M239" s="16" t="inlineStr">
        <is>
          <t>each stage</t>
        </is>
      </c>
      <c r="N239" s="16" t="inlineStr">
        <is>
          <t>FJ calculation audit</t>
        </is>
      </c>
    </row>
    <row r="240" ht="36.75" customHeight="1" s="36">
      <c r="A240" s="8" t="inlineStr">
        <is>
          <t>T21.04</t>
        </is>
      </c>
      <c r="B240" s="8" t="inlineStr">
        <is>
          <t>T21</t>
        </is>
      </c>
      <c r="C240" s="16" t="inlineStr">
        <is>
          <t>Quality gates &amp; compliance QA</t>
        </is>
      </c>
      <c r="D240" s="16" t="inlineStr">
        <is>
          <t>App / code QA: required panels, one-command run, tests green</t>
        </is>
      </c>
      <c r="E240" s="16" t="inlineStr">
        <is>
          <t>Malindu</t>
        </is>
      </c>
      <c r="F240" s="16" t="inlineStr">
        <is>
          <t>Not Started</t>
        </is>
      </c>
      <c r="G240" s="16" t="inlineStr">
        <is>
          <t>Ongoing</t>
        </is>
      </c>
      <c r="H240" s="14" t="n"/>
      <c r="I240" s="16" t="n"/>
      <c r="J240" s="16" t="n"/>
      <c r="K240" s="16" t="inlineStr">
        <is>
          <t>QA checklist</t>
        </is>
      </c>
      <c r="L240" s="16" t="inlineStr">
        <is>
          <t>Critical</t>
        </is>
      </c>
      <c r="M240" s="16" t="inlineStr">
        <is>
          <t>T14.*</t>
        </is>
      </c>
      <c r="N240" s="16" t="inlineStr">
        <is>
          <t>FJ app/code QA</t>
        </is>
      </c>
    </row>
    <row r="241" ht="36.75" customHeight="1" s="36">
      <c r="A241" s="8" t="inlineStr">
        <is>
          <t>T21.05</t>
        </is>
      </c>
      <c r="B241" s="8" t="inlineStr">
        <is>
          <t>T21</t>
        </is>
      </c>
      <c r="C241" s="16" t="inlineStr">
        <is>
          <t>Quality gates &amp; compliance QA</t>
        </is>
      </c>
      <c r="D241" s="16" t="inlineStr">
        <is>
          <t>Update FigJam board to match approved decisions (edit list in docs/research/PROJECT_REVIEW_2026-10-28.md §4)</t>
        </is>
      </c>
      <c r="E241" s="16" t="inlineStr">
        <is>
          <t>Malindu</t>
        </is>
      </c>
      <c r="F241" s="16" t="inlineStr">
        <is>
          <t>Not Started</t>
        </is>
      </c>
      <c r="G241" s="16" t="inlineStr">
        <is>
          <t>Ongoing</t>
        </is>
      </c>
      <c r="H241" s="14" t="n"/>
      <c r="I241" s="16" t="n"/>
      <c r="J241" s="16" t="n"/>
      <c r="K241" s="16" t="inlineStr">
        <is>
          <t>Board matches MODEL_DESIGN.md</t>
        </is>
      </c>
      <c r="L241" s="16" t="inlineStr">
        <is>
          <t>High</t>
        </is>
      </c>
      <c r="M241" s="16" t="inlineStr">
        <is>
          <t>—</t>
        </is>
      </c>
      <c r="N241" s="16" t="inlineStr">
        <is>
          <t>DEC D14, D20</t>
        </is>
      </c>
    </row>
    <row r="242" ht="36.75" customHeight="1" s="36">
      <c r="A242" s="8" t="inlineStr">
        <is>
          <t>T21.06</t>
        </is>
      </c>
      <c r="B242" s="8" t="inlineStr">
        <is>
          <t>T21</t>
        </is>
      </c>
      <c r="C242" s="16" t="inlineStr">
        <is>
          <t>Quality gates &amp; compliance QA</t>
        </is>
      </c>
      <c r="D242" s="16" t="inlineStr">
        <is>
          <t>Add R16–R20 to compliance matrix; update every status with evidence</t>
        </is>
      </c>
      <c r="E242" s="16" t="inlineStr">
        <is>
          <t>Malindu</t>
        </is>
      </c>
      <c r="F242" s="16" t="inlineStr">
        <is>
          <t>Done</t>
        </is>
      </c>
      <c r="G242" s="16" t="inlineStr">
        <is>
          <t>Ongoing</t>
        </is>
      </c>
      <c r="H242" s="14" t="n"/>
      <c r="I242" s="16" t="inlineStr">
        <is>
          <t>COMPLIANCE_MATRIX.md</t>
        </is>
      </c>
      <c r="J242" s="16" t="n"/>
      <c r="K242" s="16" t="inlineStr">
        <is>
          <t>COMPLIANCE_MATRIX.md</t>
        </is>
      </c>
      <c r="L242" s="16" t="inlineStr">
        <is>
          <t>Critical</t>
        </is>
      </c>
      <c r="M242" s="16" t="inlineStr">
        <is>
          <t>—</t>
        </is>
      </c>
      <c r="N242" s="16" t="inlineStr">
        <is>
          <t>Review 2026-10-28</t>
        </is>
      </c>
    </row>
    <row r="243" ht="36.75" customHeight="1" s="36">
      <c r="A243" s="8" t="inlineStr">
        <is>
          <t>T21.07</t>
        </is>
      </c>
      <c r="B243" s="8" t="inlineStr">
        <is>
          <t>T21</t>
        </is>
      </c>
      <c r="C243" s="16" t="inlineStr">
        <is>
          <t>Quality gates &amp; compliance QA</t>
        </is>
      </c>
      <c r="D243" s="16" t="inlineStr">
        <is>
          <t>Record innovations to date in the innovation log</t>
        </is>
      </c>
      <c r="E243" s="16" t="inlineStr">
        <is>
          <t>Sujan</t>
        </is>
      </c>
      <c r="F243" s="16" t="inlineStr">
        <is>
          <t>Done</t>
        </is>
      </c>
      <c r="G243" s="16" t="inlineStr">
        <is>
          <t>Ongoing</t>
        </is>
      </c>
      <c r="H243" s="14" t="n"/>
      <c r="I243" s="16" t="inlineStr">
        <is>
          <t>INNOVATION_LOG.md</t>
        </is>
      </c>
      <c r="J243" s="16" t="n"/>
      <c r="K243" s="16" t="inlineStr">
        <is>
          <t>INNOVATION_LOG.md</t>
        </is>
      </c>
      <c r="L243" s="16" t="inlineStr">
        <is>
          <t>High</t>
        </is>
      </c>
      <c r="M243" s="16" t="inlineStr">
        <is>
          <t>—</t>
        </is>
      </c>
      <c r="N243" s="16" t="inlineStr">
        <is>
          <t>Review 2026-10-28</t>
        </is>
      </c>
    </row>
    <row r="244" ht="36.75" customHeight="1" s="36">
      <c r="A244" s="8" t="inlineStr">
        <is>
          <t>T21.08</t>
        </is>
      </c>
      <c r="B244" s="8" t="inlineStr">
        <is>
          <t>T21</t>
        </is>
      </c>
      <c r="C244" s="16" t="inlineStr">
        <is>
          <t>Quality gates &amp; compliance QA</t>
        </is>
      </c>
      <c r="D244" s="16" t="inlineStr">
        <is>
          <t>Generate both Excel trackers from the repo tracker (tracking/export_excel.py)</t>
        </is>
      </c>
      <c r="E244" s="16" t="inlineStr">
        <is>
          <t>Malindu</t>
        </is>
      </c>
      <c r="F244" s="16" t="inlineStr">
        <is>
          <t>Done</t>
        </is>
      </c>
      <c r="G244" s="16" t="inlineStr">
        <is>
          <t>Ongoing</t>
        </is>
      </c>
      <c r="H244" s="14" t="n"/>
      <c r="I244" s="16" t="inlineStr">
        <is>
          <t>tracking/exports/*.xlsm</t>
        </is>
      </c>
      <c r="J244" s="16" t="n"/>
      <c r="K244" s="16" t="inlineStr">
        <is>
          <t>tracking/exports/*.xlsm</t>
        </is>
      </c>
      <c r="L244" s="16" t="inlineStr">
        <is>
          <t>High</t>
        </is>
      </c>
      <c r="M244" s="16" t="inlineStr">
        <is>
          <t>—</t>
        </is>
      </c>
      <c r="N244" s="16" t="inlineStr">
        <is>
          <t>Review 2026-10-28</t>
        </is>
      </c>
    </row>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1:J1"/>
    <mergeCell ref="A2:J2"/>
  </mergeCells>
  <conditionalFormatting sqref="F5:F400">
    <cfRule type="expression" priority="1" dxfId="0">
      <formula>F5="Done"</formula>
    </cfRule>
    <cfRule type="expression" priority="2" dxfId="1">
      <formula>F5="Blocked"</formula>
    </cfRule>
    <cfRule type="expression" priority="3" dxfId="2">
      <formula>F5="In Progress"</formula>
    </cfRule>
    <cfRule type="expression" priority="4" dxfId="3">
      <formula>F5="In Review"</formula>
    </cfRule>
  </conditionalFormatting>
  <dataValidations count="4">
    <dataValidation sqref="E5:E400" showDropDown="0" showInputMessage="0" showErrorMessage="0" allowBlank="1" type="list">
      <formula1>"Malindu,Raveena,Dewmini,Sujan,Raveena + Dewmini,All members"</formula1>
    </dataValidation>
    <dataValidation sqref="F5:F400" showDropDown="0" showInputMessage="0" showErrorMessage="0" allowBlank="1" type="list">
      <formula1>"Not Started,In Progress,Blocked,In Review,Done"</formula1>
    </dataValidation>
    <dataValidation sqref="G5:G400" showDropDown="0" showInputMessage="0" showErrorMessage="0" allowBlank="1" type="list">
      <formula1>"Week 1,Week 2,Week 3,Weeks 1–2,Weeks 2–3,Ongoing,If finalist"</formula1>
    </dataValidation>
    <dataValidation sqref="L5:L400" showDropDown="0" showInputMessage="0" showErrorMessage="0" allowBlank="1" type="list">
      <formula1>"Critical,High,Medium,Low"</formula1>
    </dataValidation>
  </dataValidation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H13"/>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31" customWidth="1" style="36" min="2" max="2"/>
    <col width="43" customWidth="1" style="36" min="3" max="3"/>
    <col width="67" customWidth="1" style="36" min="4" max="4"/>
    <col width="36" customWidth="1" style="36" min="5" max="5"/>
    <col width="21" customWidth="1" style="36" min="6" max="6"/>
    <col width="8.630000000000001" customWidth="1" style="36" min="7" max="26"/>
  </cols>
  <sheetData>
    <row r="1" ht="45" customHeight="1" s="36">
      <c r="A1" s="1" t="inlineStr">
        <is>
          <t>QUANTEDGE 1.0 — THREE-WEEK PLAN</t>
        </is>
      </c>
    </row>
    <row r="2" ht="28.5" customHeight="1" s="36">
      <c r="A2" s="5" t="inlineStr">
        <is>
          <t>Illustrative relative-week plan; set real dates only after confirming the submission deadline.</t>
        </is>
      </c>
    </row>
    <row r="4" ht="30.75" customHeight="1" s="36">
      <c r="A4" s="27" t="inlineStr">
        <is>
          <t>Phase</t>
        </is>
      </c>
      <c r="B4" s="27" t="inlineStr">
        <is>
          <t>Focus</t>
        </is>
      </c>
      <c r="C4" s="27" t="inlineStr">
        <is>
          <t>Task groups</t>
        </is>
      </c>
      <c r="D4" s="27" t="inlineStr">
        <is>
          <t>Definition of completion</t>
        </is>
      </c>
      <c r="E4" s="27" t="inlineStr">
        <is>
          <t>Suggested participants</t>
        </is>
      </c>
    </row>
    <row r="5" ht="87" customHeight="1" s="36">
      <c r="A5" s="7" t="inlineStr">
        <is>
          <t>Week 1</t>
        </is>
      </c>
      <c r="B5" s="7" t="inlineStr">
        <is>
          <t>Research &amp; foundations</t>
        </is>
      </c>
      <c r="C5" s="7" t="inlineStr">
        <is>
          <t>T1, T2, T3; begin T4</t>
        </is>
      </c>
      <c r="D5" s="7" t="inlineStr">
        <is>
          <t>Agree mandate, repository, clean prices, shared interface</t>
        </is>
      </c>
      <c r="E5" s="7" t="inlineStr">
        <is>
          <t>Malindu + Raveena + Dewmini</t>
        </is>
      </c>
    </row>
    <row r="6" ht="87" customHeight="1" s="36">
      <c r="A6" s="7" t="inlineStr">
        <is>
          <t>Week 2</t>
        </is>
      </c>
      <c r="B6" s="7" t="inlineStr">
        <is>
          <t>Portfolio and risk build</t>
        </is>
      </c>
      <c r="C6" s="7" t="inlineStr">
        <is>
          <t>T4–T9; begin T10, T11, T14</t>
        </is>
      </c>
      <c r="D6" s="7" t="inlineStr">
        <is>
          <t>Three candidate portfolios, KPI and baseline VaR/ES/EVT/GARCH</t>
        </is>
      </c>
      <c r="E6" s="7" t="inlineStr">
        <is>
          <t>Dewmini + Raveena + Sujan + Malindu</t>
        </is>
      </c>
    </row>
    <row r="7" ht="87" customHeight="1" s="36">
      <c r="A7" s="7" t="inlineStr">
        <is>
          <t>Week 2</t>
        </is>
      </c>
      <c r="B7" s="7" t="inlineStr">
        <is>
          <t>Testing, integration &amp; decisions</t>
        </is>
      </c>
      <c r="C7" s="7" t="inlineStr">
        <is>
          <t>Complete T10–T18; optional T12–T13</t>
        </is>
      </c>
      <c r="D7" s="7" t="inlineStr">
        <is>
          <t>Backtesting, stress tests, app, documents, reproducibility and AI log</t>
        </is>
      </c>
      <c r="E7" s="7" t="inlineStr">
        <is>
          <t>All members</t>
        </is>
      </c>
    </row>
    <row r="8" ht="87" customHeight="1" s="36">
      <c r="A8" s="7" t="inlineStr">
        <is>
          <t>Ongoing</t>
        </is>
      </c>
      <c r="B8" s="7" t="inlineStr">
        <is>
          <t>Quality reviews</t>
        </is>
      </c>
      <c r="C8" s="7" t="inlineStr">
        <is>
          <t>T18 and integration checks</t>
        </is>
      </c>
      <c r="D8" s="7" t="inlineStr">
        <is>
          <t>Human review of AI work, data leakage and reproducibility</t>
        </is>
      </c>
      <c r="E8" s="7" t="inlineStr">
        <is>
          <t>All members (Malindu coordinates)</t>
        </is>
      </c>
    </row>
    <row r="9" ht="87" customHeight="1" s="36">
      <c r="A9" s="7" t="inlineStr">
        <is>
          <t>Only if finalist</t>
        </is>
      </c>
      <c r="B9" s="7" t="inlineStr">
        <is>
          <t>Pitch and Q&amp;A</t>
        </is>
      </c>
      <c r="C9" s="7" t="inlineStr">
        <is>
          <t>T19</t>
        </is>
      </c>
      <c r="D9" s="7" t="inlineStr">
        <is>
          <t>10–12 minute deck and mock judge questions</t>
        </is>
      </c>
      <c r="E9" s="7" t="inlineStr">
        <is>
          <t>All members</t>
        </is>
      </c>
    </row>
    <row r="12" ht="30" customHeight="1" s="36">
      <c r="A12" s="10" t="inlineStr">
        <is>
          <t>SCHEDULING GUIDELINE</t>
        </is>
      </c>
    </row>
    <row r="13" ht="54" customHeight="1" s="36">
      <c r="A13" s="11" t="inlineStr">
        <is>
          <t>When your team agrees on the real submission date, enter actual Due Dates in Main Tasks and Subtasks. Google Calendar is best for meetings, demos and major deadline reminders—not all individual subtasks.</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12:E12"/>
    <mergeCell ref="A2:H2"/>
    <mergeCell ref="A13:E13"/>
    <mergeCell ref="A1:H1"/>
  </mergeCells>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H16"/>
  <sheetViews>
    <sheetView workbookViewId="0">
      <pane ySplit="4" topLeftCell="A5" activePane="bottomLeft" state="frozen"/>
      <selection pane="bottomLeft" activeCell="B6" sqref="B6"/>
    </sheetView>
  </sheetViews>
  <sheetFormatPr baseColWidth="8" defaultColWidth="12.63" defaultRowHeight="15" customHeight="1"/>
  <cols>
    <col width="31" customWidth="1" style="36" min="1" max="1"/>
    <col width="112" customWidth="1" style="36" min="2" max="2"/>
    <col width="8.630000000000001" customWidth="1" style="36" min="3" max="26"/>
  </cols>
  <sheetData>
    <row r="1" ht="45" customHeight="1" s="36">
      <c r="A1" s="1" t="inlineStr">
        <is>
          <t>QUANTEDGE 1.0 — WORKBOOK GUIDE</t>
        </is>
      </c>
    </row>
    <row r="2" ht="28.5" customHeight="1" s="36">
      <c r="A2" s="5" t="inlineStr">
        <is>
          <t>How to track the project and coordinate with Google Sheets, Drive, GitHub and Calendar.</t>
        </is>
      </c>
    </row>
    <row r="3"/>
    <row r="4" ht="30.75" customHeight="1" s="36">
      <c r="A4" s="27" t="inlineStr">
        <is>
          <t>HOW TO USE</t>
        </is>
      </c>
      <c r="B4" s="27" t="inlineStr">
        <is>
          <t>INSTRUCTIONS</t>
        </is>
      </c>
    </row>
    <row r="5" ht="58.5" customHeight="1" s="36">
      <c r="A5" s="7" t="inlineStr">
        <is>
          <t>1. Assign real people</t>
        </is>
      </c>
      <c r="B5" s="7" t="inlineStr">
        <is>
          <t>Owners: Malindu — lead, app, reports and integration; Raveena — data cleaning and KPIs; Dewmini — portfolio construction; Sujan — client mandate and risk estimation. Backtesting, stress testing and validation/decision — all members.</t>
        </is>
      </c>
    </row>
    <row r="6" ht="58.5" customHeight="1" s="36">
      <c r="A6" s="7" t="inlineStr">
        <is>
          <t>2. Manage main tasks</t>
        </is>
      </c>
      <c r="B6" s="7" t="inlineStr">
        <is>
          <t>Main Tasks sheet lists all 21 tasks; column L = definition of done and their required outputs. The Needs column is intentionally omitted.</t>
        </is>
      </c>
    </row>
    <row r="7" ht="58.5" customHeight="1" s="36">
      <c r="A7" s="7" t="inlineStr">
        <is>
          <t>3. Update detailed work</t>
        </is>
      </c>
      <c r="B7" s="7" t="inlineStr">
        <is>
          <t>In Subtasks, select Not Started / In Progress / Blocked / In Review / Done for each row.</t>
        </is>
      </c>
    </row>
    <row r="8" ht="58.5" customHeight="1" s="36">
      <c r="A8" s="7" t="inlineStr">
        <is>
          <t>4. Watch automatic progress</t>
        </is>
      </c>
      <c r="B8" s="7" t="inlineStr">
        <is>
          <t>Main Tasks Progress is calculated from the fraction of subtasks marked Done; Dashboard summarizes counts.</t>
        </is>
      </c>
    </row>
    <row r="9" ht="58.5" customHeight="1" s="36">
      <c r="A9" s="7" t="inlineStr">
        <is>
          <t>5. Define real dates</t>
        </is>
      </c>
      <c r="B9" s="7" t="inlineStr">
        <is>
          <t>The sheet shows relative Week 1–3 labels. Actual due dates are empty until you choose a project start/submission deadline.</t>
        </is>
      </c>
    </row>
    <row r="10" ht="58.5" customHeight="1" s="36">
      <c r="A10" s="7" t="inlineStr">
        <is>
          <t>6. Choose project tooling</t>
        </is>
      </c>
      <c r="B10" s="7" t="inlineStr">
        <is>
          <t>Google Sheets = tracker; Google Drive = shared project folder; GitHub = code; Calendar = demos and deadline milestones.</t>
        </is>
      </c>
    </row>
    <row r="11" ht="58.5" customHeight="1" s="36">
      <c r="A11" s="7" t="inlineStr">
        <is>
          <t>7. Upload to Google</t>
        </is>
      </c>
      <c r="B11" s="7" t="inlineStr">
        <is>
          <t>In Google Drive: New → File upload → select this XLSX → Open with Google Sheets → Save as Google Sheets.</t>
        </is>
      </c>
    </row>
    <row r="12" ht="58.5" customHeight="1" s="36">
      <c r="A12" s="7" t="inlineStr">
        <is>
          <t>8. Share collaboration</t>
        </is>
      </c>
      <c r="B12" s="7" t="inlineStr">
        <is>
          <t>Share the resulting Google Sheet with all team members as Editors, or assign other permission levels if needed.</t>
        </is>
      </c>
    </row>
    <row r="13" ht="58.5" customHeight="1" s="36">
      <c r="A13" s="7" t="inlineStr">
        <is>
          <t>9. Weekly reviews</t>
        </is>
      </c>
      <c r="B13" s="7" t="inlineStr">
        <is>
          <t>Hold a short team check-in to review blocked tasks and complete evidence links; avoid updating progress by gut feeling.</t>
        </is>
      </c>
    </row>
    <row r="14" ht="58.5" customHeight="1" s="36">
      <c r="A14" s="7" t="inlineStr">
        <is>
          <t>10. Competition condition</t>
        </is>
      </c>
      <c r="B14" s="7" t="inlineStr">
        <is>
          <t>T19 pitch and Q&amp;A is conditional on reaching the final five. Macro and innovation tasks are optional.</t>
        </is>
      </c>
    </row>
    <row r="15" ht="58.5" customHeight="1" s="36">
      <c r="A15" s="7" t="inlineStr">
        <is>
          <t>11. Risk estimates</t>
        </is>
      </c>
      <c r="B15" s="7" t="inlineStr">
        <is>
          <t>VaR and ES are risk measures; GARCH and EVT change how those estimates are produced, not what they mean.</t>
        </is>
      </c>
    </row>
    <row r="16" ht="58.5" customHeight="1" s="36">
      <c r="A16" s="7" t="inlineStr">
        <is>
          <t>12. Evidence / links</t>
        </is>
      </c>
      <c r="B16" s="7" t="inlineStr">
        <is>
          <t>Attach PR links, notebook outputs, screenshots or report drafts directly in Notes/Links and Evidence/Link.</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2:H2"/>
    <mergeCell ref="A1:H1"/>
  </mergeCells>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2026-10-30T02:43:56Z</dcterms:created>
  <dcterms:modified xmlns:dcterms="http://purl.org/dc/terms/" xmlns:xsi="http://www.w3.org/2001/XMLSchema-instance" xsi:type="dcterms:W3CDTF">2026-10-30T02:43:56Z</dcterms:modified>
</cp:coreProperties>
</file>