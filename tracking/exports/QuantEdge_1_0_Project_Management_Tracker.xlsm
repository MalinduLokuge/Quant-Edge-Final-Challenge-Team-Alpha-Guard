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249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5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In Progress</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In Progress</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In Progress</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In Progress</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Done</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D235" s="19" t="inlineStr">
        <is>
          <t>09  Endowment sustainability &amp; recovery stress test: 15/20/25% falls, 1/3/5/7-year and lost-decade recoveries, D24 at 2.8%, costs, taxes, inflation; market view; bootstrap</t>
        </is>
      </c>
    </row>
    <row r="236" ht="34.5" customHeight="1" s="36">
      <c r="D236" s="19" t="inlineStr">
        <is>
          <t>10  Audit fix: 5-year drawdown test seed-tuned (4k paths) → 32k paths, block-length sensitivity; D30 2.8% propagated to hurdle and spending</t>
        </is>
      </c>
    </row>
    <row r="237" ht="34.5" customHeight="1" s="36">
      <c r="A237" s="17" t="inlineStr">
        <is>
          <t>T21</t>
        </is>
      </c>
      <c r="B237" s="18" t="inlineStr">
        <is>
          <t>Quality gates &amp; compliance QA</t>
        </is>
      </c>
      <c r="C237" s="18" t="inlineStr">
        <is>
          <t>Quality gates &amp; compliance QA</t>
        </is>
      </c>
      <c r="D237" s="19" t="inlineStr">
        <is>
          <t>01  Compliance check after every stage (R1–R20)</t>
        </is>
      </c>
      <c r="E237" s="18" t="inlineStr">
        <is>
          <t>Malindu</t>
        </is>
      </c>
      <c r="F237" s="18" t="inlineStr">
        <is>
          <t>Core ★</t>
        </is>
      </c>
      <c r="G237" s="18" t="inlineStr">
        <is>
          <t>In Progress</t>
        </is>
      </c>
      <c r="H237" s="20">
        <f>IFERROR(COUNTIFS(Subtasks!$B$5:$B$400,A237,Subtasks!$F$5:$F$400,"Done")/COUNTIF(Subtasks!$B$5:$B$400,A237),0)</f>
        <v/>
      </c>
      <c r="I237" s="18" t="inlineStr">
        <is>
          <t>Ongoing</t>
        </is>
      </c>
      <c r="J237" s="21" t="n"/>
      <c r="K237" s="18" t="n"/>
      <c r="L237" s="18" t="inlineStr">
        <is>
          <t>compliance-validator passes all R1–R20</t>
        </is>
      </c>
    </row>
    <row r="238" ht="34.5" customHeight="1" s="36">
      <c r="D238" s="19" t="inlineStr">
        <is>
          <t>02  Out-of-sample integrity gate: no leakage, frozen test, trial log</t>
        </is>
      </c>
    </row>
    <row r="239" ht="34.5" customHeight="1" s="36">
      <c r="D239" s="19" t="inlineStr">
        <is>
          <t>03  Calculation audit: units, signs, horizon consistent across stages</t>
        </is>
      </c>
    </row>
    <row r="240" ht="34.5" customHeight="1" s="36">
      <c r="D240" s="19" t="inlineStr">
        <is>
          <t>04  App / code QA: required panels, one-command run, tests green</t>
        </is>
      </c>
    </row>
    <row r="241" ht="34.5" customHeight="1" s="36">
      <c r="D241" s="19" t="inlineStr">
        <is>
          <t>05  Update FigJam board to match approved decisions (edit list in docs/research/PROJECT_REVIEW_2026-10-28.md §4)</t>
        </is>
      </c>
    </row>
    <row r="242" ht="34.5" customHeight="1" s="36">
      <c r="D242" s="19" t="inlineStr">
        <is>
          <t>06  QA-01 Fill the four empty Assumptions &amp; Limitations sections and update stale text (63-day blocks → D32 126; 2.8% → 2.65%)</t>
        </is>
      </c>
    </row>
    <row r="243" ht="34.5" customHeight="1" s="36">
      <c r="D243" s="19" t="inlineStr">
        <is>
          <t>07  QA-02 Quantify diversification benefit: undiversified vs portfolio VaR/ES (QA estimate O6: −29% VaR99, −25% ES99), diversification ratio, risk vs weight; add to report, tear sheet, app Risk page</t>
        </is>
      </c>
    </row>
    <row r="244" ht="34.5" customHeight="1" s="36">
      <c r="D244" s="19" t="inlineStr">
        <is>
          <t>08  QA-03 Update README: status, app pages, run time (~2 h full pipeline), quick start, troubleshooting (Windows path length, numpy &lt; 2)</t>
        </is>
      </c>
    </row>
    <row r="245" ht="34.5" customHeight="1" s="36">
      <c r="D245" s="19" t="inlineStr">
        <is>
          <t>09  QA-04 Judge quick start: decide whether to ship a results snapshot so the app opens without the 2-hour pipeline (outputs/ is gitignored)</t>
        </is>
      </c>
    </row>
    <row r="246" ht="34.5" customHeight="1" s="36">
      <c r="D246" s="19" t="inlineStr">
        <is>
          <t>10  QA-06 Tear sheet: add the recommendation (ACCEPT, D34) and fit one page; memo fit one page (709 words now)</t>
        </is>
      </c>
    </row>
    <row r="247" ht="34.5" customHeight="1" s="36">
      <c r="D247" s="19" t="inlineStr">
        <is>
          <t>11  QA-07 Data-source compliance: macro context in memo/report from IMF/World Bank; IEA/EIA/Fed/news kept as disclosed background in research docs only</t>
        </is>
      </c>
    </row>
    <row r="248" ht="34.5" customHeight="1" s="36">
      <c r="D248" s="19" t="inlineStr">
        <is>
          <t>12  QA-08 Report: convert to PDF, verify 7–15 pages, rerun scripts/check_deliverables.py after edits</t>
        </is>
      </c>
    </row>
    <row r="249" ht="34.5" customHeight="1" s="36">
      <c r="D249" s="19" t="inlineStr">
        <is>
          <t>13  QA-09 Optional: backtest forecasts at 90% so the sidebar 90% applies to the backtest panel</t>
        </is>
      </c>
    </row>
    <row r="250" ht="34.5" customHeight="1" s="36">
      <c r="D250" s="19" t="inlineStr">
        <is>
          <t>14  QA-10 Record clean-install reproducibility result (diff of key outputs vs original) in a reproducibility log</t>
        </is>
      </c>
    </row>
    <row r="251" ht="34.5" customHeight="1" s="36">
      <c r="D251" s="19" t="inlineStr">
        <is>
          <t>06  Add R16–R20 to compliance matrix; update every status with evidence</t>
        </is>
      </c>
    </row>
    <row r="252" ht="34.5" customHeight="1" s="36">
      <c r="D252" s="19" t="inlineStr">
        <is>
          <t>07  Record innovations to date in the innovation log</t>
        </is>
      </c>
    </row>
    <row r="253" ht="34.5" customHeight="1" s="36">
      <c r="D253" s="19" t="inlineStr">
        <is>
          <t>08  Generate both Excel trackers from the repo tracker (tracking/export_excel.py)</t>
        </is>
      </c>
    </row>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I227:I236"/>
    <mergeCell ref="C33:C61"/>
    <mergeCell ref="F168:F172"/>
    <mergeCell ref="E33:E61"/>
    <mergeCell ref="H168:H172"/>
    <mergeCell ref="K97:K109"/>
    <mergeCell ref="E237:E253"/>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A206:A214"/>
    <mergeCell ref="I168:I172"/>
    <mergeCell ref="H33:H61"/>
    <mergeCell ref="A193:A198"/>
    <mergeCell ref="K168:K172"/>
    <mergeCell ref="C193:C198"/>
    <mergeCell ref="H237:H253"/>
    <mergeCell ref="J237:J253"/>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C173:C179"/>
    <mergeCell ref="C110:C114"/>
    <mergeCell ref="A1:K1"/>
    <mergeCell ref="E110:E114"/>
    <mergeCell ref="F193:F198"/>
    <mergeCell ref="H193:H198"/>
    <mergeCell ref="B215:B222"/>
    <mergeCell ref="K237:K253"/>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G33:G61"/>
    <mergeCell ref="J168:J172"/>
    <mergeCell ref="I33:I61"/>
    <mergeCell ref="L168:L172"/>
    <mergeCell ref="G237:G253"/>
    <mergeCell ref="I237:I253"/>
    <mergeCell ref="A237:A253"/>
    <mergeCell ref="I16:I32"/>
    <mergeCell ref="G88:G96"/>
    <mergeCell ref="A16:A32"/>
    <mergeCell ref="C16:C32"/>
    <mergeCell ref="I133:I144"/>
    <mergeCell ref="F133:F144"/>
    <mergeCell ref="A97:A109"/>
    <mergeCell ref="H133:H144"/>
    <mergeCell ref="A227:A236"/>
    <mergeCell ref="C227:C236"/>
    <mergeCell ref="E97:E109"/>
    <mergeCell ref="H5:H15"/>
    <mergeCell ref="L133:L144"/>
    <mergeCell ref="K110:K114"/>
    <mergeCell ref="J5:J15"/>
    <mergeCell ref="F206:F214"/>
    <mergeCell ref="B199:B205"/>
    <mergeCell ref="C206:C214"/>
    <mergeCell ref="E206:E214"/>
    <mergeCell ref="E193:E198"/>
    <mergeCell ref="L33:L61"/>
    <mergeCell ref="G193:G198"/>
    <mergeCell ref="I193:I198"/>
    <mergeCell ref="A127:A132"/>
    <mergeCell ref="I206:I214"/>
    <mergeCell ref="L237:L253"/>
    <mergeCell ref="F237:F253"/>
    <mergeCell ref="L16:L32"/>
    <mergeCell ref="B180:B192"/>
    <mergeCell ref="I173:I179"/>
    <mergeCell ref="F97:F109"/>
    <mergeCell ref="F227:F236"/>
    <mergeCell ref="H227:H236"/>
    <mergeCell ref="A2:K2"/>
    <mergeCell ref="H206:H214"/>
    <mergeCell ref="J193:J198"/>
    <mergeCell ref="A62:A87"/>
    <mergeCell ref="B127:B132"/>
    <mergeCell ref="L193:L198"/>
    <mergeCell ref="F215:F222"/>
    <mergeCell ref="A145:A167"/>
    <mergeCell ref="G223:G226"/>
    <mergeCell ref="B237:B253"/>
    <mergeCell ref="B16:B32"/>
    <mergeCell ref="F33:F61"/>
    <mergeCell ref="E173:E179"/>
    <mergeCell ref="K227:K236"/>
    <mergeCell ref="L88:L96"/>
    <mergeCell ref="F16:F32"/>
    <mergeCell ref="B227:B236"/>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C237:C253"/>
    <mergeCell ref="F173:F179"/>
    <mergeCell ref="E16:E32"/>
    <mergeCell ref="H173:H179"/>
    <mergeCell ref="G16:G32"/>
    <mergeCell ref="C97:C109"/>
    <mergeCell ref="E227:E236"/>
    <mergeCell ref="K16:K32"/>
    <mergeCell ref="G227:G236"/>
    <mergeCell ref="B168:B172"/>
    <mergeCell ref="A33:A61"/>
    <mergeCell ref="G97:G109"/>
    <mergeCell ref="I97:I109"/>
    <mergeCell ref="G62:G87"/>
    <mergeCell ref="I88:I96"/>
    <mergeCell ref="L127:L132"/>
    <mergeCell ref="G206:G214"/>
    <mergeCell ref="A199:A205"/>
    <mergeCell ref="C199:C205"/>
    <mergeCell ref="B5:B15"/>
    <mergeCell ref="E199:E205"/>
    <mergeCell ref="A223:A226"/>
    <mergeCell ref="C127:C132"/>
    <mergeCell ref="K173:K179"/>
    <mergeCell ref="A168:A172"/>
    <mergeCell ref="H97:H109"/>
    <mergeCell ref="J97:J109"/>
    <mergeCell ref="J227:J236"/>
    <mergeCell ref="L227:L236"/>
    <mergeCell ref="L97:L109"/>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5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249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In Progress</t>
        </is>
      </c>
      <c r="G12" s="16" t="inlineStr">
        <is>
          <t>Week 1</t>
        </is>
      </c>
      <c r="H12" s="14" t="n"/>
      <c r="I12" s="16" t="n"/>
      <c r="J12" s="16" t="n"/>
      <c r="K12" s="16" t="inlineStr">
        <is>
          <t>all decisions settled except D16 deployment (QA-05)</t>
        </is>
      </c>
      <c r="L12" s="16" t="inlineStr">
        <is>
          <t>High</t>
        </is>
      </c>
      <c r="M12" s="16" t="inlineStr">
        <is>
          <t>T1.07</t>
        </is>
      </c>
      <c r="N12" s="16" t="inlineStr">
        <is>
          <t>DEC · QA 2026-10-30</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In Progress</t>
        </is>
      </c>
      <c r="G37" s="16" t="inlineStr">
        <is>
          <t>Week 1</t>
        </is>
      </c>
      <c r="H37" s="14" t="n"/>
      <c r="I37" s="16" t="n"/>
      <c r="J37" s="16" t="n"/>
      <c r="K37" s="16" t="inlineStr">
        <is>
          <t>assumptions documented except 4 empty sections in ASSUMPTIONS_LIMITATIONS.md (QA-01)</t>
        </is>
      </c>
      <c r="L37" s="16" t="inlineStr">
        <is>
          <t>Critical</t>
        </is>
      </c>
      <c r="M37" s="16" t="inlineStr">
        <is>
          <t>T3.01–T3.08</t>
        </is>
      </c>
      <c r="N37" s="16" t="inlineStr">
        <is>
          <t>PM · QA 2026-10-30</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Done</t>
        </is>
      </c>
      <c r="G38" s="16" t="inlineStr">
        <is>
          <t>Week 1</t>
        </is>
      </c>
      <c r="H38" s="14" t="n"/>
      <c r="I38" s="16" t="inlineStr">
        <is>
          <t>D24 + D30 (2.65%), D12 costs 0.2%, D11 turnover (config mandate)</t>
        </is>
      </c>
      <c r="J38" s="16" t="n"/>
      <c r="K38" s="16" t="inlineStr">
        <is>
          <t>D24 + D30 (2.65%), D12 costs 0.2%, D11 turnover (config mandate)</t>
        </is>
      </c>
      <c r="L38" s="16" t="inlineStr">
        <is>
          <t>High</t>
        </is>
      </c>
      <c r="M38" s="16" t="inlineStr">
        <is>
          <t>T3.02</t>
        </is>
      </c>
      <c r="N38" s="16" t="inlineStr">
        <is>
          <t>FJ M-N02 · D12 S/C approved; IPS write-up pending · QA 2026-10-30</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Done</t>
        </is>
      </c>
      <c r="G41" s="16" t="inlineStr">
        <is>
          <t>Week 1</t>
        </is>
      </c>
      <c r="H41" s="14" t="n"/>
      <c r="I41" s="16" t="inlineStr">
        <is>
          <t>suitability conditions T4_25 §3; Decision page gate (app/pages/6_Decision.py)</t>
        </is>
      </c>
      <c r="J41" s="16" t="n"/>
      <c r="K41" s="16" t="inlineStr">
        <is>
          <t>suitability conditions T4_25 §3; Decision page gate (app/pages/6_Decision.py)</t>
        </is>
      </c>
      <c r="L41" s="16" t="inlineStr">
        <is>
          <t>High</t>
        </is>
      </c>
      <c r="M41" s="16" t="inlineStr">
        <is>
          <t>T3.02, T3.04</t>
        </is>
      </c>
      <c r="N41" s="16" t="inlineStr">
        <is>
          <t>FJ VD08 · D7 + D12 define criteria; checklist pending · QA 2026-10-30</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Done</t>
        </is>
      </c>
      <c r="G62" s="16" t="inlineStr">
        <is>
          <t>Weeks 1–2</t>
        </is>
      </c>
      <c r="H62" s="14" t="n"/>
      <c r="I62" s="16" t="inlineStr">
        <is>
          <t>cma.estimate_as_of → cma_train.csv, cma_train_cov(_shrunk).csv (data ≤ 2014-12-31)</t>
        </is>
      </c>
      <c r="J62" s="16" t="n"/>
      <c r="K62" s="16" t="inlineStr">
        <is>
          <t>cma.estimate_as_of → cma_train.csv, cma_train_cov(_shrunk).csv (data ≤ 2014-12-31)</t>
        </is>
      </c>
      <c r="L62" s="16" t="inlineStr">
        <is>
          <t>Critical</t>
        </is>
      </c>
      <c r="M62" s="16" t="inlineStr">
        <is>
          <t>T2.13</t>
        </is>
      </c>
      <c r="N62" s="16" t="inlineStr">
        <is>
          <t>PM · FJ PM01 · QA 2026-10-30</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Done</t>
        </is>
      </c>
      <c r="G66" s="16" t="inlineStr">
        <is>
          <t>Weeks 1–2</t>
        </is>
      </c>
      <c r="H66" s="14" t="n"/>
      <c r="I66" s="16" t="inlineStr">
        <is>
          <t>research doc P1_candidates_and_kpis.md + report §4 (draft)</t>
        </is>
      </c>
      <c r="J66" s="16" t="n"/>
      <c r="K66" s="16" t="inlineStr">
        <is>
          <t>research doc P1_candidates_and_kpis.md + report §4 (draft)</t>
        </is>
      </c>
      <c r="L66" s="16" t="inlineStr">
        <is>
          <t>Critical</t>
        </is>
      </c>
      <c r="M66" s="16" t="inlineStr">
        <is>
          <t>T4.11</t>
        </is>
      </c>
      <c r="N66" s="16" t="inlineStr">
        <is>
          <t>PM · BR p.7 · QA 2026-10-30</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Done</t>
        </is>
      </c>
      <c r="G68" s="16" t="inlineStr">
        <is>
          <t>Weeks 1–2</t>
        </is>
      </c>
      <c r="H68" s="14" t="n"/>
      <c r="I68" s="16" t="inlineStr">
        <is>
          <t>p1_final/p1_train weights + T4_25 doc + outputs/p3_decision/p3_portfolio.csv</t>
        </is>
      </c>
      <c r="J68" s="16" t="n"/>
      <c r="K68" s="16" t="inlineStr">
        <is>
          <t>p1_final/p1_train weights + T4_25 doc + outputs/p3_decision/p3_portfolio.csv</t>
        </is>
      </c>
      <c r="L68" s="16" t="inlineStr">
        <is>
          <t>Critical</t>
        </is>
      </c>
      <c r="M68" s="16" t="inlineStr">
        <is>
          <t>T4.06, T5.05</t>
        </is>
      </c>
      <c r="N68" s="16" t="inlineStr">
        <is>
          <t>PM · QA 2026-10-30</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Done</t>
        </is>
      </c>
      <c r="G74" s="16" t="inlineStr">
        <is>
          <t>Weeks 1–2</t>
        </is>
      </c>
      <c r="H74" s="14" t="n"/>
      <c r="I74" s="16" t="inlineStr">
        <is>
          <t>turnover 7.0%/yr, rebalancing cost &lt; 0.02%/yr at 10 bp (research_t425_eval_summary.csv, stress_hyp path costs)</t>
        </is>
      </c>
      <c r="J74" s="16" t="n"/>
      <c r="K74" s="16" t="inlineStr">
        <is>
          <t>turnover 7.0%/yr, rebalancing cost &lt; 0.02%/yr at 10 bp (research_t425_eval_summary.csv, stress_hyp path costs)</t>
        </is>
      </c>
      <c r="L74" s="16" t="inlineStr">
        <is>
          <t>Medium</t>
        </is>
      </c>
      <c r="M74" s="16" t="inlineStr">
        <is>
          <t>T3.06, T3.07</t>
        </is>
      </c>
      <c r="N74" s="16" t="inlineStr">
        <is>
          <t>FJ PM-N03 · QA 2026-10-30</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 · QA-02: diversification benefit not quantified anywhere (brief p.4)</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Done</t>
        </is>
      </c>
      <c r="G76" s="16" t="inlineStr">
        <is>
          <t>Weeks 1–2</t>
        </is>
      </c>
      <c r="H76" s="14" t="n"/>
      <c r="I76" s="16" t="inlineStr">
        <is>
          <t>weight shift 2014→2026 inputs (research_t425_eval_summary.csv) + walk-forward weights at 6 origins (research_walkforward_weights.csv)</t>
        </is>
      </c>
      <c r="J76" s="16" t="n"/>
      <c r="K76" s="16" t="inlineStr">
        <is>
          <t>weight shift 2014→2026 inputs (research_t425_eval_summary.csv) + walk-forward weights at 6 origins (research_walkforward_weights.csv)</t>
        </is>
      </c>
      <c r="L76" s="16" t="inlineStr">
        <is>
          <t>Medium</t>
        </is>
      </c>
      <c r="M76" s="16" t="inlineStr">
        <is>
          <t>T4.12</t>
        </is>
      </c>
      <c r="N76" s="16" t="inlineStr">
        <is>
          <t>FJ robust frontier · QA 2026-10-30</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Done</t>
        </is>
      </c>
      <c r="G82" s="16" t="inlineStr">
        <is>
          <t>Weeks 1–2</t>
        </is>
      </c>
      <c r="H82" s="14" t="n"/>
      <c r="I82" s="16" t="inlineStr">
        <is>
          <t>p1_final/p1_train_diagnostics.csv: sustainable_spending + hurdle for every candidate</t>
        </is>
      </c>
      <c r="J82" s="16" t="n"/>
      <c r="K82" s="16" t="inlineStr">
        <is>
          <t>p1_final/p1_train_diagnostics.csv: sustainable_spending + hurdle for every candidate</t>
        </is>
      </c>
      <c r="L82" s="16" t="inlineStr">
        <is>
          <t>High</t>
        </is>
      </c>
      <c r="M82" s="16" t="inlineStr">
        <is>
          <t>T4.16</t>
        </is>
      </c>
      <c r="N82" s="16" t="inlineStr">
        <is>
          <t>DEC D12 · QA 2026-10-30</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Done</t>
        </is>
      </c>
      <c r="G166" s="16" t="inlineStr">
        <is>
          <t>Weeks 2–3</t>
        </is>
      </c>
      <c r="H166" s="14" t="n"/>
      <c r="I166" s="16" t="inlineStr">
        <is>
          <t>pages/4_Stress: scenario/severity selector, factor sliders, waterfall, path chart</t>
        </is>
      </c>
      <c r="J166" s="16" t="n"/>
      <c r="K166" s="16" t="inlineStr">
        <is>
          <t>pages/4_Stress: scenario/severity selector, factor sliders, waterfall, path chart</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Done</t>
        </is>
      </c>
      <c r="G167" s="16" t="inlineStr">
        <is>
          <t>Weeks 2–3</t>
        </is>
      </c>
      <c r="H167" s="14" t="n"/>
      <c r="I167" s="16" t="inlineStr">
        <is>
          <t>memo + tear sheet + report §7 report severe losses and headroom; gold/XLE hedge tested as O4 (rejected, T4_25 §2)</t>
        </is>
      </c>
      <c r="J167" s="16" t="n"/>
      <c r="K167" s="16" t="inlineStr">
        <is>
          <t>memo + tear sheet + report §7 report severe losses and headroom; gold/XLE hedge tested as O4 (rejected, T4_25 §2)</t>
        </is>
      </c>
      <c r="L167" s="16" t="inlineStr">
        <is>
          <t>Critical</t>
        </is>
      </c>
      <c r="M167" s="16" t="inlineStr">
        <is>
          <t>T11.20, T20</t>
        </is>
      </c>
      <c r="N167" s="16" t="inlineStr">
        <is>
          <t>Decision 30% · QA 2026-10-30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Done</t>
        </is>
      </c>
      <c r="G168" s="16" t="inlineStr">
        <is>
          <t>Week 3</t>
        </is>
      </c>
      <c r="H168" s="14" t="n"/>
      <c r="I168" s="16" t="inlineStr">
        <is>
          <t>T11_hypothetical_stress_design.md §1 (rates, inflation, oil, geopolitics)</t>
        </is>
      </c>
      <c r="J168" s="16" t="n"/>
      <c r="K168" s="16" t="inlineStr">
        <is>
          <t>T11_hypothetical_stress_design.md §1 (rates, inflation, oil, geopolitics)</t>
        </is>
      </c>
      <c r="L168" s="16" t="inlineStr">
        <is>
          <t>Medium</t>
        </is>
      </c>
      <c r="M168" s="16" t="inlineStr">
        <is>
          <t>—</t>
        </is>
      </c>
      <c r="N168" s="16" t="inlineStr">
        <is>
          <t>PM · BR p.4 #9 · QA 2026-10-30</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Done</t>
        </is>
      </c>
      <c r="G169" s="16" t="inlineStr">
        <is>
          <t>Week 3</t>
        </is>
      </c>
      <c r="H169" s="14" t="n"/>
      <c r="I169" s="16" t="inlineStr">
        <is>
          <t>six-factor betas full + stress samples (stress_hyp_betas.csv)</t>
        </is>
      </c>
      <c r="J169" s="16" t="n"/>
      <c r="K169" s="16" t="inlineStr">
        <is>
          <t>six-factor betas full + stress samples (stress_hyp_betas.csv)</t>
        </is>
      </c>
      <c r="L169" s="16" t="inlineStr">
        <is>
          <t>Medium</t>
        </is>
      </c>
      <c r="M169" s="16" t="inlineStr">
        <is>
          <t>T12.01</t>
        </is>
      </c>
      <c r="N169" s="16" t="inlineStr">
        <is>
          <t>PM · QA 2026-10-30</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Done</t>
        </is>
      </c>
      <c r="G170" s="16" t="inlineStr">
        <is>
          <t>Week 3</t>
        </is>
      </c>
      <c r="H170" s="14" t="n"/>
      <c r="I170" s="16" t="inlineStr">
        <is>
          <t>scenarios A/B/C → ETF moves (stress_hyp_shocks.csv)</t>
        </is>
      </c>
      <c r="J170" s="16" t="n"/>
      <c r="K170" s="16" t="inlineStr">
        <is>
          <t>scenarios A/B/C → ETF moves (stress_hyp_shocks.csv)</t>
        </is>
      </c>
      <c r="L170" s="16" t="inlineStr">
        <is>
          <t>Medium</t>
        </is>
      </c>
      <c r="M170" s="16" t="inlineStr">
        <is>
          <t>T12.02</t>
        </is>
      </c>
      <c r="N170" s="16" t="inlineStr">
        <is>
          <t>PM · QA 2026-10-30</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In Progress</t>
        </is>
      </c>
      <c r="G171" s="16" t="inlineStr">
        <is>
          <t>Week 3</t>
        </is>
      </c>
      <c r="H171" s="14" t="n"/>
      <c r="I171" s="16" t="n"/>
      <c r="J171" s="16" t="n"/>
      <c r="K171" s="16" t="inlineStr">
        <is>
          <t>design report written; report §7 summary; macro-risk notes to finalise with team</t>
        </is>
      </c>
      <c r="L171" s="16" t="inlineStr">
        <is>
          <t>Medium</t>
        </is>
      </c>
      <c r="M171" s="16" t="inlineStr">
        <is>
          <t>T12.03</t>
        </is>
      </c>
      <c r="N171" s="16" t="inlineStr">
        <is>
          <t>PM · BR p.10 counts in decision score · QA 2026-10-30</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In Progress</t>
        </is>
      </c>
      <c r="G172" s="16" t="inlineStr">
        <is>
          <t>Week 3</t>
        </is>
      </c>
      <c r="H172" s="14" t="n"/>
      <c r="I172" s="16" t="n"/>
      <c r="J172" s="16" t="n"/>
      <c r="K172" s="16" t="inlineStr">
        <is>
          <t>Partial: context cites IEA/EIA/Fed/news besides IMF/World Bank (brief 9.1) → QA-07</t>
        </is>
      </c>
      <c r="L172" s="16" t="inlineStr">
        <is>
          <t>Low</t>
        </is>
      </c>
      <c r="M172" s="16" t="inlineStr">
        <is>
          <t>T12.04</t>
        </is>
      </c>
      <c r="N172" s="16" t="inlineStr">
        <is>
          <t>BR p.9 · QA 2026-10-30</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Done</t>
        </is>
      </c>
      <c r="G175" s="16" t="inlineStr">
        <is>
          <t>Week 3</t>
        </is>
      </c>
      <c r="H175" s="14" t="n"/>
      <c r="I175" s="16" t="inlineStr">
        <is>
          <t>GARCH-EVT, t-copula MC, EVT threshold rule, regime VaR built without leakage (rolling data ≤ t−1, test_validation no-look-ahead)</t>
        </is>
      </c>
      <c r="J175" s="16" t="n"/>
      <c r="K175" s="16" t="inlineStr">
        <is>
          <t>GARCH-EVT, t-copula MC, EVT threshold rule, regime VaR built without leakage (rolling data ≤ t−1, test_validation no-look-ahead)</t>
        </is>
      </c>
      <c r="L175" s="16" t="inlineStr">
        <is>
          <t>Medium</t>
        </is>
      </c>
      <c r="M175" s="16" t="inlineStr">
        <is>
          <t>T13.02</t>
        </is>
      </c>
      <c r="N175" s="16" t="inlineStr">
        <is>
          <t>PM · QA 2026-10-30</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Done</t>
        </is>
      </c>
      <c r="G176" s="16" t="inlineStr">
        <is>
          <t>Week 3</t>
        </is>
      </c>
      <c r="H176" s="14" t="n"/>
      <c r="I176" s="16" t="inlineStr">
        <is>
          <t>GARCH-EVT backtested vs 6 standalone methods (backtest_results_*.csv, T10 doc)</t>
        </is>
      </c>
      <c r="J176" s="16" t="n"/>
      <c r="K176" s="16" t="inlineStr">
        <is>
          <t>GARCH-EVT backtested vs 6 standalone methods (backtest_results_*.csv, T10 doc)</t>
        </is>
      </c>
      <c r="L176" s="16" t="inlineStr">
        <is>
          <t>Medium</t>
        </is>
      </c>
      <c r="M176" s="16" t="inlineStr">
        <is>
          <t>T13.03, T10.04</t>
        </is>
      </c>
      <c r="N176" s="16" t="inlineStr">
        <is>
          <t>PM · QA 2026-10-30</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Done</t>
        </is>
      </c>
      <c r="G177" s="16" t="inlineStr">
        <is>
          <t>Week 3</t>
        </is>
      </c>
      <c r="H177" s="14" t="n"/>
      <c r="I177" s="16" t="inlineStr">
        <is>
          <t>INNOVATION_LOG.md I1, I12–I16 with results and failures; audit corrections T4_25 §0</t>
        </is>
      </c>
      <c r="J177" s="16" t="n"/>
      <c r="K177" s="16" t="inlineStr">
        <is>
          <t>INNOVATION_LOG.md I1, I12–I16 with results and failures; audit corrections T4_25 §0</t>
        </is>
      </c>
      <c r="L177" s="16" t="inlineStr">
        <is>
          <t>Medium</t>
        </is>
      </c>
      <c r="M177" s="16" t="inlineStr">
        <is>
          <t>T13.04</t>
        </is>
      </c>
      <c r="N177" s="16" t="inlineStr">
        <is>
          <t>PM · QA 2026-10-30</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Done</t>
        </is>
      </c>
      <c r="G179" s="16" t="inlineStr">
        <is>
          <t>Week 3</t>
        </is>
      </c>
      <c r="H179" s="14" t="n"/>
      <c r="I179" s="16" t="inlineStr">
        <is>
          <t>CDaR constraint in optimise.py (D22), INNOVATION_LOG I14</t>
        </is>
      </c>
      <c r="J179" s="16" t="n"/>
      <c r="K179" s="16" t="inlineStr">
        <is>
          <t>CDaR constraint in optimise.py (D22), INNOVATION_LOG I14</t>
        </is>
      </c>
      <c r="L179" s="16" t="inlineStr">
        <is>
          <t>Medium</t>
        </is>
      </c>
      <c r="M179" s="16" t="inlineStr">
        <is>
          <t>T4.20</t>
        </is>
      </c>
      <c r="N179" s="16" t="inlineStr">
        <is>
          <t>Review 2026-10-28 · QA 2026-10-30</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Done</t>
        </is>
      </c>
      <c r="G180" s="16" t="inlineStr">
        <is>
          <t>Weeks 2–3</t>
        </is>
      </c>
      <c r="H180" s="14" t="n"/>
      <c r="I180" s="16" t="inlineStr">
        <is>
          <t>app/components/ui.py sidebar: confidence 90/95/99, VaR method, backtest dates (session state)</t>
        </is>
      </c>
      <c r="J180" s="16" t="n"/>
      <c r="K180" s="16" t="inlineStr">
        <is>
          <t>app/components/ui.py sidebar: confidence 90/95/99, VaR method, backtest dates (session state)</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Done</t>
        </is>
      </c>
      <c r="G181" s="16" t="inlineStr">
        <is>
          <t>Weeks 2–3</t>
        </is>
      </c>
      <c r="H181" s="14" t="n"/>
      <c r="I181" s="16" t="inlineStr">
        <is>
          <t>pages/1_Portfolio: weights, growth of $10M vs benchmarks</t>
        </is>
      </c>
      <c r="J181" s="16" t="n"/>
      <c r="K181" s="16" t="inlineStr">
        <is>
          <t>pages/1_Portfolio: weights, growth of $10M vs benchmarks</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Done</t>
        </is>
      </c>
      <c r="G182" s="16" t="inlineStr">
        <is>
          <t>Weeks 2–3</t>
        </is>
      </c>
      <c r="H182" s="14" t="n"/>
      <c r="I182" s="16" t="inlineStr">
        <is>
          <t>pages/1_Portfolio: drawdown chart with D7 line, KPI table by period</t>
        </is>
      </c>
      <c r="J182" s="16" t="n"/>
      <c r="K182" s="16" t="inlineStr">
        <is>
          <t>pages/1_Portfolio: drawdown chart with D7 line, KPI table by period</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Done</t>
        </is>
      </c>
      <c r="G183" s="16" t="inlineStr">
        <is>
          <t>Weeks 2–3</t>
        </is>
      </c>
      <c r="H183" s="14" t="n"/>
      <c r="I183" s="16" t="inlineStr">
        <is>
          <t>pages/2_Risk: VaR/ES/EVT/GARCH-EVT side by side at chosen confidence, CIs, component ES vs D27</t>
        </is>
      </c>
      <c r="J183" s="16" t="n"/>
      <c r="K183" s="16" t="inlineStr">
        <is>
          <t>pages/2_Risk: VaR/ES/EVT/GARCH-EVT side by side at chosen confidence, CIs, component ES vs D27</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Done</t>
        </is>
      </c>
      <c r="G184" s="16" t="inlineStr">
        <is>
          <t>Weeks 2–3</t>
        </is>
      </c>
      <c r="H184" s="14" t="n"/>
      <c r="I184" s="16" t="inlineStr">
        <is>
          <t>pages/3_Backtest: Kupiec, Christoffersen, Basel recomputed on any date range; exception chart</t>
        </is>
      </c>
      <c r="J184" s="16" t="n"/>
      <c r="K184" s="16" t="inlineStr">
        <is>
          <t>pages/3_Backtest: Kupiec, Christoffersen, Basel recomputed on any date range; exception chart</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Done</t>
        </is>
      </c>
      <c r="G185" s="16" t="inlineStr">
        <is>
          <t>Weeks 2–3</t>
        </is>
      </c>
      <c r="H185" s="14" t="n"/>
      <c r="I185" s="16" t="inlineStr">
        <is>
          <t>pages/4_Stress: scenario table, contribution waterfall, 12-month paths, factor sliders</t>
        </is>
      </c>
      <c r="J185" s="16" t="n"/>
      <c r="K185" s="16" t="inlineStr">
        <is>
          <t>pages/4_Stress: scenario table, contribution waterfall, 12-month paths, factor sliders</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Done</t>
        </is>
      </c>
      <c r="G186" s="16" t="inlineStr">
        <is>
          <t>Weeks 2–3</t>
        </is>
      </c>
      <c r="H186" s="14" t="n"/>
      <c r="I186" s="16" t="inlineStr">
        <is>
          <t>pages/7_Assumptions from docs/ASSUMPTIONS_LIMITATIONS.md; tests/integration/test_app.py (9 pages run)</t>
        </is>
      </c>
      <c r="J186" s="16" t="n"/>
      <c r="K186" s="16" t="inlineStr">
        <is>
          <t>pages/7_Assumptions from docs/ASSUMPTIONS_LIMITATIONS.md; tests/integration/test_app.py (9 pages run)</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Done</t>
        </is>
      </c>
      <c r="G187" s="16" t="inlineStr">
        <is>
          <t>Weeks 2–3</t>
        </is>
      </c>
      <c r="H187" s="14" t="n"/>
      <c r="I187" s="16" t="inlineStr">
        <is>
          <t>app/components/data.py: cached loaders, outputs only</t>
        </is>
      </c>
      <c r="J187" s="16" t="n"/>
      <c r="K187" s="16" t="inlineStr">
        <is>
          <t>app/components/data.py: cached loaders, outputs only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Done</t>
        </is>
      </c>
      <c r="G188" s="16" t="inlineStr">
        <is>
          <t>Weeks 2–3</t>
        </is>
      </c>
      <c r="H188" s="14" t="n"/>
      <c r="I188" s="16" t="inlineStr">
        <is>
          <t>pages/6_Decision: P3, suitability gate, validation, triggers</t>
        </is>
      </c>
      <c r="J188" s="16" t="n"/>
      <c r="K188" s="16" t="inlineStr">
        <is>
          <t>pages/6_Decision: P3, suitability gate, validation, triggers</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Done</t>
        </is>
      </c>
      <c r="G189" s="16" t="inlineStr">
        <is>
          <t>Weeks 2–3</t>
        </is>
      </c>
      <c r="H189" s="14" t="n"/>
      <c r="I189" s="16" t="inlineStr">
        <is>
          <t>pages/8_Disclosure: AI disclosure, data sources, decision log</t>
        </is>
      </c>
      <c r="J189" s="16" t="n"/>
      <c r="K189" s="16" t="inlineStr">
        <is>
          <t>pages/8_Disclosure: AI disclosure, data sources, decision log</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Done</t>
        </is>
      </c>
      <c r="G190" s="16" t="inlineStr">
        <is>
          <t>Weeks 2–3</t>
        </is>
      </c>
      <c r="H190" s="14" t="n"/>
      <c r="I190" s="16" t="inlineStr">
        <is>
          <t>download buttons on Decision page (CSV / Markdown)</t>
        </is>
      </c>
      <c r="J190" s="16" t="n"/>
      <c r="K190" s="16" t="inlineStr">
        <is>
          <t>download buttons on Decision page (CSV / Markdown)</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In Progress</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Done</t>
        </is>
      </c>
      <c r="G192" s="16" t="inlineStr">
        <is>
          <t>Weeks 2–3</t>
        </is>
      </c>
      <c r="H192" s="14" t="n"/>
      <c r="I192" s="16" t="inlineStr">
        <is>
          <t>pages/5_Sustainability: what-if sliders (spending, growth, costs, inflation, ERP) + trade-off + recovery</t>
        </is>
      </c>
      <c r="J192" s="16" t="n"/>
      <c r="K192" s="16" t="inlineStr">
        <is>
          <t>pages/5_Sustainability: what-if sliders (spending, growth, costs, inflation, ERP) + trade-off + recovery</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 · QA-01: section '## Models' empty</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 · QA-01: sections '## Tail / EVT uncertainty', '## Not captured' empty</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 · QA-01: section '## Backtesting scope' empty</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Done</t>
        </is>
      </c>
      <c r="G197" s="16" t="inlineStr">
        <is>
          <t>Week 3</t>
        </is>
      </c>
      <c r="H197" s="14" t="n"/>
      <c r="I197" s="16" t="inlineStr">
        <is>
          <t>app/pages/7_Assumptions.py renders docs/ASSUMPTIONS_LIMITATIONS.md (same text as report)</t>
        </is>
      </c>
      <c r="J197" s="16" t="n"/>
      <c r="K197" s="16" t="inlineStr">
        <is>
          <t>app/pages/7_Assumptions.py renders docs/ASSUMPTIONS_LIMITATIONS.md (same text as report)</t>
        </is>
      </c>
      <c r="L197" s="16" t="inlineStr">
        <is>
          <t>Critical</t>
        </is>
      </c>
      <c r="M197" s="16" t="inlineStr">
        <is>
          <t>T15.01–T15.04</t>
        </is>
      </c>
      <c r="N197" s="16" t="inlineStr">
        <is>
          <t>PM · FJ limitations audit · QA 2026-10-30</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In Progress</t>
        </is>
      </c>
      <c r="G199" s="16" t="inlineStr">
        <is>
          <t>Week 3</t>
        </is>
      </c>
      <c r="H199" s="14" t="n"/>
      <c r="I199" s="16" t="n"/>
      <c r="J199" s="16" t="n"/>
      <c r="K199" s="16" t="inlineStr">
        <is>
          <t>docs/deliverables/report/technical_report.md: 11 sections + appendix (draft, team review)</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In Progress</t>
        </is>
      </c>
      <c r="G200" s="16" t="inlineStr">
        <is>
          <t>Week 3</t>
        </is>
      </c>
      <c r="H200" s="14" t="n"/>
      <c r="I200" s="16" t="n"/>
      <c r="J200" s="16" t="n"/>
      <c r="K200" s="16" t="inlineStr">
        <is>
          <t>report draft: methods, evidence, tests, limitations (team to edit and own)</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In Progress</t>
        </is>
      </c>
      <c r="G201" s="16" t="inlineStr">
        <is>
          <t>Week 3</t>
        </is>
      </c>
      <c r="H201" s="14" t="n"/>
      <c r="I201" s="16" t="n"/>
      <c r="J201" s="16" t="n"/>
      <c r="K201" s="16" t="inlineStr">
        <is>
          <t>docs/deliverables/tear_sheet/tear_sheet.md (draft, team review)</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Done</t>
        </is>
      </c>
      <c r="G202" s="16" t="inlineStr">
        <is>
          <t>Week 3</t>
        </is>
      </c>
      <c r="H202" s="14" t="n"/>
      <c r="I202" s="16" t="inlineStr">
        <is>
          <t>memo drafted; verdict ACCEPT confirmed by team (D34); wording to be finalised by team</t>
        </is>
      </c>
      <c r="J202" s="16" t="n"/>
      <c r="K202" s="16" t="inlineStr">
        <is>
          <t>memo drafted; verdict ACCEPT confirmed by team (D34); wording to be finalised by team</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Done</t>
        </is>
      </c>
      <c r="G203" s="16" t="inlineStr">
        <is>
          <t>Week 3</t>
        </is>
      </c>
      <c r="H203" s="14" t="n"/>
      <c r="I203" s="16" t="inlineStr">
        <is>
          <t>scripts/check_deliverables.py: 30 figures vs outputs, 0 mismatches (caught one rounding error)</t>
        </is>
      </c>
      <c r="J203" s="16" t="n"/>
      <c r="K203" s="16" t="inlineStr">
        <is>
          <t>scripts/check_deliverables.py: 30 figures vs outputs, 0 mismatches (caught one rounding error)</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In Progress</t>
        </is>
      </c>
      <c r="G204" s="16" t="inlineStr">
        <is>
          <t>Week 3</t>
        </is>
      </c>
      <c r="H204" s="14" t="n"/>
      <c r="I204" s="16" t="n"/>
      <c r="J204" s="16" t="n"/>
      <c r="K204" s="16" t="inlineStr">
        <is>
          <t>report §3 data sources and cleaning (draft)</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In Progress</t>
        </is>
      </c>
      <c r="G205" s="16" t="inlineStr">
        <is>
          <t>Week 3</t>
        </is>
      </c>
      <c r="H205" s="14" t="n"/>
      <c r="I205" s="16" t="n"/>
      <c r="J205" s="16" t="n"/>
      <c r="K205" s="16" t="inlineStr">
        <is>
          <t>report §2, §4.4 return objective, spending and risk-limit research (draft)</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Done</t>
        </is>
      </c>
      <c r="G207" s="16" t="inlineStr">
        <is>
          <t>Week 3</t>
        </is>
      </c>
      <c r="H207" s="14" t="n"/>
      <c r="I207" s="16" t="inlineStr">
        <is>
          <t>requirements.txt exact pins (916105a); clean venv install from GitHub OK 2026-10-30</t>
        </is>
      </c>
      <c r="J207" s="16" t="n"/>
      <c r="K207" s="16" t="inlineStr">
        <is>
          <t>requirements.txt exact pins (916105a); clean venv install from GitHub OK 2026-10-30</t>
        </is>
      </c>
      <c r="L207" s="16" t="inlineStr">
        <is>
          <t>Critical</t>
        </is>
      </c>
      <c r="M207" s="16" t="inlineStr">
        <is>
          <t>T1.02</t>
        </is>
      </c>
      <c r="N207" s="16" t="inlineStr">
        <is>
          <t>PM · QA 2026-10-30</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In Progress</t>
        </is>
      </c>
      <c r="G209" s="16" t="inlineStr">
        <is>
          <t>Week 3</t>
        </is>
      </c>
      <c r="H209" s="14" t="n"/>
      <c r="I209" s="16" t="n"/>
      <c r="J209" s="16" t="n"/>
      <c r="K209" s="16" t="inlineStr">
        <is>
          <t>clean clone + venv OK; full run_all in clean copy running (C:\Users\user\qe)</t>
        </is>
      </c>
      <c r="L209" s="16" t="inlineStr">
        <is>
          <t>Critical</t>
        </is>
      </c>
      <c r="M209" s="16" t="inlineStr">
        <is>
          <t>T17.02</t>
        </is>
      </c>
      <c r="N209" s="16" t="inlineStr">
        <is>
          <t>PM · QA 2026-10-30</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Done</t>
        </is>
      </c>
      <c r="G215" s="16" t="inlineStr">
        <is>
          <t>Ongoing</t>
        </is>
      </c>
      <c r="H215" s="14" t="n"/>
      <c r="I215" s="16" t="inlineStr">
        <is>
          <t>docs/AI_DISCLOSURE.md: 11 rows covering all stages (2026-10-30)</t>
        </is>
      </c>
      <c r="J215" s="16" t="n"/>
      <c r="K215" s="16" t="inlineStr">
        <is>
          <t>docs/AI_DISCLOSURE.md: 11 rows covering all stages (2026-10-30)</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Done</t>
        </is>
      </c>
      <c r="G216" s="16" t="inlineStr">
        <is>
          <t>Ongoing</t>
        </is>
      </c>
      <c r="H216" s="14" t="n"/>
      <c r="I216" s="16" t="inlineStr">
        <is>
          <t>material components column filled per stage</t>
        </is>
      </c>
      <c r="J216" s="16" t="n"/>
      <c r="K216" s="16" t="inlineStr">
        <is>
          <t>material components column filled per stage</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Done</t>
        </is>
      </c>
      <c r="G219" s="16" t="inlineStr">
        <is>
          <t>Ongoing</t>
        </is>
      </c>
      <c r="H219" s="14" t="n"/>
      <c r="I219" s="16" t="inlineStr">
        <is>
          <t>brief's four columns used exactly</t>
        </is>
      </c>
      <c r="J219" s="16" t="n"/>
      <c r="K219" s="16" t="inlineStr">
        <is>
          <t>brief's four columns used exactly</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Done</t>
        </is>
      </c>
      <c r="G221" s="16" t="inlineStr">
        <is>
          <t>Ongoing</t>
        </is>
      </c>
      <c r="H221" s="14" t="n"/>
      <c r="I221" s="16" t="inlineStr">
        <is>
          <t>Claude Code use recorded to 2026-10-30</t>
        </is>
      </c>
      <c r="J221" s="16" t="n"/>
      <c r="K221" s="16" t="inlineStr">
        <is>
          <t>Claude Code use recorded to 2026-10-30</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Done</t>
        </is>
      </c>
      <c r="G227" s="16" t="inlineStr">
        <is>
          <t>Week 3</t>
        </is>
      </c>
      <c r="H227" s="14" t="n"/>
      <c r="I227" s="16" t="inlineStr">
        <is>
          <t>evidence: T4_25 doc + p3_summary (allocation, return, loss limit, tail, model trust, governance)</t>
        </is>
      </c>
      <c r="J227" s="16" t="n"/>
      <c r="K227" s="16" t="inlineStr">
        <is>
          <t>evidence: T4_25 doc + p3_summary (allocation, return, loss limit, tail, model trust, governance)</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Done</t>
        </is>
      </c>
      <c r="G228" s="16" t="inlineStr">
        <is>
          <t>Week 3</t>
        </is>
      </c>
      <c r="H228" s="14" t="n"/>
      <c r="I228" s="16" t="inlineStr">
        <is>
          <t>suitability gate: T4_25 §3 conditions; O6 passes all mandatory</t>
        </is>
      </c>
      <c r="J228" s="16" t="n"/>
      <c r="K228" s="16" t="inlineStr">
        <is>
          <t>suitability gate: T4_25 §3 conditions; O6 passes all mandatory</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Done</t>
        </is>
      </c>
      <c r="G229" s="16" t="inlineStr">
        <is>
          <t>Week 3</t>
        </is>
      </c>
      <c r="H229" s="14" t="n"/>
      <c r="I229" s="16" t="inlineStr">
        <is>
          <t>revise &amp; retest loop: audit 2026-10-29 (D31 withdrawn → D31 v2, D32, D33)</t>
        </is>
      </c>
      <c r="J229" s="16" t="n"/>
      <c r="K229" s="16" t="inlineStr">
        <is>
          <t>revise &amp; retest loop: audit 2026-10-29 (D31 withdrawn → D31 v2, D32, D33)</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Done</t>
        </is>
      </c>
      <c r="G230" s="16" t="inlineStr">
        <is>
          <t>Week 3</t>
        </is>
      </c>
      <c r="H230" s="14" t="n"/>
      <c r="I230" s="16" t="inlineStr">
        <is>
          <t>decision stage → outputs/p3_decision (O6: AGG 61.1, SPY 18.4, XLK 10, EFA 7.2, XLE 3.0, GLD 0.4; 5.80%, $265k spending)</t>
        </is>
      </c>
      <c r="J230" s="16" t="n"/>
      <c r="K230" s="16" t="inlineStr">
        <is>
          <t>decision stage → outputs/p3_decision (O6: AGG 61.1, SPY 18.4, XLK 10, EFA 7.2, XLE 3.0, GLD 0.4; 5.80%, $265k spending)</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Done</t>
        </is>
      </c>
      <c r="G231" s="16" t="inlineStr">
        <is>
          <t>Week 3</t>
        </is>
      </c>
      <c r="H231" s="14" t="n"/>
      <c r="I231" s="16" t="inlineStr">
        <is>
          <t>p3_triggers.csv: D23 ladder + Basel model check + quarterly rebalance + annual review</t>
        </is>
      </c>
      <c r="J231" s="16" t="n"/>
      <c r="K231" s="16" t="inlineStr">
        <is>
          <t>p3_triggers.csv: D23 ladder + Basel model check + quarterly rebalance + annual review</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Done</t>
        </is>
      </c>
      <c r="G232" s="16" t="inlineStr">
        <is>
          <t>Week 3</t>
        </is>
      </c>
      <c r="H232" s="14" t="n"/>
      <c r="I232" s="16" t="inlineStr">
        <is>
          <t>p3_tradeoff.csv: frontier spending vs drawdown vs P(DD), O6 marked (app widget pending T14)</t>
        </is>
      </c>
      <c r="J232" s="16" t="n"/>
      <c r="K232" s="16" t="inlineStr">
        <is>
          <t>p3_tradeoff.csv: frontier spending vs drawdown vs P(DD), O6 marked (app widget pending T14)</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Done</t>
        </is>
      </c>
      <c r="G233" s="16" t="inlineStr">
        <is>
          <t>Week 3</t>
        </is>
      </c>
      <c r="H233" s="14" t="n"/>
      <c r="I233" s="16" t="inlineStr">
        <is>
          <t>research_walkforward_*.csv: 6 origins 2008–2023; D7 drawdown held every segment; chained 7.3%/yr, Sharpe 0.89, DD −16.4% (policy 0.75, −19.2%); D27×D7 conflict at 2008/2011 noted</t>
        </is>
      </c>
      <c r="J233" s="16" t="n"/>
      <c r="K233" s="16" t="inlineStr">
        <is>
          <t>research_walkforward_*.csv: 6 origins 2008–2023; D7 drawdown held every segment; chained 7.3%/yr, Sharpe 0.89, DD −16.4% (policy 0.75, −19.2%); D27×D7 conflict at 2008/2011 noted</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Done</t>
        </is>
      </c>
      <c r="G234" s="16" t="inlineStr">
        <is>
          <t>Week 3</t>
        </is>
      </c>
      <c r="H234" s="14" t="n"/>
      <c r="I234" s="16" t="inlineStr">
        <is>
          <t>Approved 2026-10-30: watch rolling ES99 2.5% (was 2.0%; 20% → 9.6% of days)</t>
        </is>
      </c>
      <c r="J234" s="16" t="n"/>
      <c r="K234" s="16" t="inlineStr">
        <is>
          <t>Approved 2026-10-30: watch rolling ES99 2.5% (was 2.0%; 20% → 9.6% of days)</t>
        </is>
      </c>
      <c r="L234" s="16" t="inlineStr">
        <is>
          <t>Medium</t>
        </is>
      </c>
      <c r="M234" s="16" t="inlineStr">
        <is>
          <t>T10.12</t>
        </is>
      </c>
      <c r="N234" s="16" t="inlineStr">
        <is>
          <t>Limit-stability finding 2026-10-29</t>
        </is>
      </c>
    </row>
    <row r="235" ht="36.75" customHeight="1" s="36">
      <c r="A235" s="8" t="inlineStr">
        <is>
          <t>T20.09</t>
        </is>
      </c>
      <c r="B235" s="8" t="inlineStr">
        <is>
          <t>T20</t>
        </is>
      </c>
      <c r="C235" s="16" t="inlineStr">
        <is>
          <t>Decision gate &amp; final recommendation (P3)</t>
        </is>
      </c>
      <c r="D235" s="16" t="inlineStr">
        <is>
          <t>Endowment sustainability &amp; recovery stress test: 15/20/25% falls, 1/3/5/7-year and lost-decade recoveries, D24 at 2.8%, costs, taxes, inflation; market view; bootstrap</t>
        </is>
      </c>
      <c r="E235" s="16" t="inlineStr">
        <is>
          <t>All members</t>
        </is>
      </c>
      <c r="F235" s="16" t="inlineStr">
        <is>
          <t>Done</t>
        </is>
      </c>
      <c r="G235" s="16" t="inlineStr">
        <is>
          <t>Week 3</t>
        </is>
      </c>
      <c r="H235" s="14" t="n"/>
      <c r="I235" s="16" t="inlineStr">
        <is>
          <t>sustainability_*.csv + research_t425_eval_sustainability_*.csv</t>
        </is>
      </c>
      <c r="J235" s="16" t="n"/>
      <c r="K235" s="16" t="inlineStr">
        <is>
          <t>sustainability_*.csv + research_t425_eval_sustainability_*.csv</t>
        </is>
      </c>
      <c r="L235" s="16" t="inlineStr">
        <is>
          <t>Critical</t>
        </is>
      </c>
      <c r="M235" s="16" t="inlineStr">
        <is>
          <t>T20.10</t>
        </is>
      </c>
      <c r="N235" s="16" t="inlineStr">
        <is>
          <t>User request 2026-10-29</t>
        </is>
      </c>
    </row>
    <row r="236" ht="36.75" customHeight="1" s="36">
      <c r="A236" s="8" t="inlineStr">
        <is>
          <t>T20.10</t>
        </is>
      </c>
      <c r="B236" s="8" t="inlineStr">
        <is>
          <t>T20</t>
        </is>
      </c>
      <c r="C236" s="16" t="inlineStr">
        <is>
          <t>Decision gate &amp; final recommendation (P3)</t>
        </is>
      </c>
      <c r="D236" s="16" t="inlineStr">
        <is>
          <t>Audit fix: 5-year drawdown test seed-tuned (4k paths) → 32k paths, block-length sensitivity; D30 2.8% propagated to hurdle and spending</t>
        </is>
      </c>
      <c r="E236" s="16" t="inlineStr">
        <is>
          <t>Malindu</t>
        </is>
      </c>
      <c r="F236" s="16" t="inlineStr">
        <is>
          <t>Done</t>
        </is>
      </c>
      <c r="G236" s="16" t="inlineStr">
        <is>
          <t>Week 3</t>
        </is>
      </c>
      <c r="H236" s="14" t="n"/>
      <c r="I236" s="16" t="inlineStr">
        <is>
          <t>Pipeline rerun, D26 re-selected</t>
        </is>
      </c>
      <c r="J236" s="16" t="n"/>
      <c r="K236" s="16" t="inlineStr">
        <is>
          <t>Pipeline rerun, D26 re-selected</t>
        </is>
      </c>
      <c r="L236" s="16" t="inlineStr">
        <is>
          <t>Critical</t>
        </is>
      </c>
      <c r="M236" s="16" t="inlineStr">
        <is>
          <t>—</t>
        </is>
      </c>
      <c r="N236" s="16" t="inlineStr">
        <is>
          <t>Audit 2026-10-29</t>
        </is>
      </c>
    </row>
    <row r="237" ht="36.75" customHeight="1" s="36">
      <c r="A237" s="8" t="inlineStr">
        <is>
          <t>T21.01</t>
        </is>
      </c>
      <c r="B237" s="8" t="inlineStr">
        <is>
          <t>T21</t>
        </is>
      </c>
      <c r="C237" s="16" t="inlineStr">
        <is>
          <t>Quality gates &amp; compliance QA</t>
        </is>
      </c>
      <c r="D237" s="16" t="inlineStr">
        <is>
          <t>Compliance check after every stage (R1–R20)</t>
        </is>
      </c>
      <c r="E237" s="16" t="inlineStr">
        <is>
          <t>Malindu</t>
        </is>
      </c>
      <c r="F237" s="16" t="inlineStr">
        <is>
          <t>In Progress</t>
        </is>
      </c>
      <c r="G237" s="16" t="inlineStr">
        <is>
          <t>Ongoing</t>
        </is>
      </c>
      <c r="H237" s="14" t="n"/>
      <c r="I237" s="16" t="n"/>
      <c r="J237" s="16" t="n"/>
      <c r="K237" s="16" t="inlineStr">
        <is>
          <t>COMPLIANCE_MATRIX.md updated</t>
        </is>
      </c>
      <c r="L237" s="16" t="inlineStr">
        <is>
          <t>Critical</t>
        </is>
      </c>
      <c r="M237" s="16" t="inlineStr">
        <is>
          <t>each stage</t>
        </is>
      </c>
      <c r="N237" s="16" t="inlineStr">
        <is>
          <t>FJ N01 governance · REV</t>
        </is>
      </c>
    </row>
    <row r="238" ht="36.75" customHeight="1" s="36">
      <c r="A238" s="8" t="inlineStr">
        <is>
          <t>T21.02</t>
        </is>
      </c>
      <c r="B238" s="8" t="inlineStr">
        <is>
          <t>T21</t>
        </is>
      </c>
      <c r="C238" s="16" t="inlineStr">
        <is>
          <t>Quality gates &amp; compliance QA</t>
        </is>
      </c>
      <c r="D238" s="16" t="inlineStr">
        <is>
          <t>Out-of-sample integrity gate: no leakage, frozen test, trial log</t>
        </is>
      </c>
      <c r="E238" s="16" t="inlineStr">
        <is>
          <t>Malindu</t>
        </is>
      </c>
      <c r="F238" s="16" t="inlineStr">
        <is>
          <t>Done</t>
        </is>
      </c>
      <c r="G238" s="16" t="inlineStr">
        <is>
          <t>Ongoing</t>
        </is>
      </c>
      <c r="H238" s="14" t="n"/>
      <c r="I238" s="16" t="inlineStr">
        <is>
          <t>D5 split, as-of CMA, rolling forecasts data ≤ t−1 (unit test), D28 rule frozen in commit 60e67e3 before test run, walk-forward</t>
        </is>
      </c>
      <c r="J238" s="16" t="n"/>
      <c r="K238" s="16" t="inlineStr">
        <is>
          <t>D5 split, as-of CMA, rolling forecasts data ≤ t−1 (unit test), D28 rule frozen in commit 60e67e3 before test run, walk-forward</t>
        </is>
      </c>
      <c r="L238" s="16" t="inlineStr">
        <is>
          <t>Critical</t>
        </is>
      </c>
      <c r="M238" s="16" t="inlineStr">
        <is>
          <t>T2.13</t>
        </is>
      </c>
      <c r="N238" s="16" t="inlineStr">
        <is>
          <t>FJ OOS integrity gate · QA 2026-10-30</t>
        </is>
      </c>
    </row>
    <row r="239" ht="36.75" customHeight="1" s="36">
      <c r="A239" s="8" t="inlineStr">
        <is>
          <t>T21.03</t>
        </is>
      </c>
      <c r="B239" s="8" t="inlineStr">
        <is>
          <t>T21</t>
        </is>
      </c>
      <c r="C239" s="16" t="inlineStr">
        <is>
          <t>Quality gates &amp; compliance QA</t>
        </is>
      </c>
      <c r="D239" s="16" t="inlineStr">
        <is>
          <t>Calculation audit: units, signs, horizon consistent across stages</t>
        </is>
      </c>
      <c r="E239" s="16" t="inlineStr">
        <is>
          <t>Malindu</t>
        </is>
      </c>
      <c r="F239" s="16" t="inlineStr">
        <is>
          <t>Done</t>
        </is>
      </c>
      <c r="G239" s="16" t="inlineStr">
        <is>
          <t>Ongoing</t>
        </is>
      </c>
      <c r="H239" s="14" t="n"/>
      <c r="I239" s="16" t="inlineStr">
        <is>
          <t>QA independent recomputation: returns, VaR/ES, drawdown, CAPM, required return, Kupiec, Basel, look-ahead all match (QA report §3)</t>
        </is>
      </c>
      <c r="J239" s="16" t="n"/>
      <c r="K239" s="16" t="inlineStr">
        <is>
          <t>QA independent recomputation: returns, VaR/ES, drawdown, CAPM, required return, Kupiec, Basel, look-ahead all match (QA report §3)</t>
        </is>
      </c>
      <c r="L239" s="16" t="inlineStr">
        <is>
          <t>Critical</t>
        </is>
      </c>
      <c r="M239" s="16" t="inlineStr">
        <is>
          <t>each stage</t>
        </is>
      </c>
      <c r="N239" s="16" t="inlineStr">
        <is>
          <t>FJ calculation audit · QA 2026-10-30</t>
        </is>
      </c>
    </row>
    <row r="240" ht="36.75" customHeight="1" s="36">
      <c r="A240" s="8" t="inlineStr">
        <is>
          <t>T21.04</t>
        </is>
      </c>
      <c r="B240" s="8" t="inlineStr">
        <is>
          <t>T21</t>
        </is>
      </c>
      <c r="C240" s="16" t="inlineStr">
        <is>
          <t>Quality gates &amp; compliance QA</t>
        </is>
      </c>
      <c r="D240" s="16" t="inlineStr">
        <is>
          <t>App / code QA: required panels, one-command run, tests green</t>
        </is>
      </c>
      <c r="E240" s="16" t="inlineStr">
        <is>
          <t>Malindu</t>
        </is>
      </c>
      <c r="F240" s="16" t="inlineStr">
        <is>
          <t>In Progress</t>
        </is>
      </c>
      <c r="G240" s="16" t="inlineStr">
        <is>
          <t>Ongoing</t>
        </is>
      </c>
      <c r="H240" s="14" t="n"/>
      <c r="I240" s="16" t="n"/>
      <c r="J240" s="16" t="n"/>
      <c r="K240" s="16" t="inlineStr">
        <is>
          <t>9 pages run (test_app.py); sidebar 90/95/99 + method + dates; backtest 90% falls back to 99% (QA-09); README stale (QA-03)</t>
        </is>
      </c>
      <c r="L240" s="16" t="inlineStr">
        <is>
          <t>Critical</t>
        </is>
      </c>
      <c r="M240" s="16" t="inlineStr">
        <is>
          <t>T14.*</t>
        </is>
      </c>
      <c r="N240" s="16" t="inlineStr">
        <is>
          <t>FJ app/code QA · QA 2026-10-30</t>
        </is>
      </c>
    </row>
    <row r="241" ht="36.75" customHeight="1" s="36">
      <c r="A241" s="8" t="inlineStr">
        <is>
          <t>T21.05</t>
        </is>
      </c>
      <c r="B241" s="8" t="inlineStr">
        <is>
          <t>T21</t>
        </is>
      </c>
      <c r="C241" s="16" t="inlineStr">
        <is>
          <t>Quality gates &amp; compliance QA</t>
        </is>
      </c>
      <c r="D241" s="16" t="inlineStr">
        <is>
          <t>Update FigJam board to match approved decisions (edit list in docs/research/PROJECT_REVIEW_2026-10-28.md §4)</t>
        </is>
      </c>
      <c r="E241" s="16" t="inlineStr">
        <is>
          <t>Malindu</t>
        </is>
      </c>
      <c r="F241" s="16" t="inlineStr">
        <is>
          <t>Not Started</t>
        </is>
      </c>
      <c r="G241" s="16" t="inlineStr">
        <is>
          <t>Ongoing</t>
        </is>
      </c>
      <c r="H241" s="14" t="n"/>
      <c r="I241" s="16" t="n"/>
      <c r="J241" s="16" t="n"/>
      <c r="K241" s="16" t="inlineStr">
        <is>
          <t>Board matches MODEL_DESIGN.md</t>
        </is>
      </c>
      <c r="L241" s="16" t="inlineStr">
        <is>
          <t>High</t>
        </is>
      </c>
      <c r="M241" s="16" t="inlineStr">
        <is>
          <t>—</t>
        </is>
      </c>
      <c r="N241" s="16" t="inlineStr">
        <is>
          <t>DEC D14, D20</t>
        </is>
      </c>
    </row>
    <row r="242" ht="36.75" customHeight="1" s="36">
      <c r="A242" s="8" t="inlineStr">
        <is>
          <t>T21.06</t>
        </is>
      </c>
      <c r="B242" s="8" t="inlineStr">
        <is>
          <t>T21</t>
        </is>
      </c>
      <c r="C242" s="16" t="inlineStr">
        <is>
          <t>Quality gates &amp; compliance QA</t>
        </is>
      </c>
      <c r="D242" s="16" t="inlineStr">
        <is>
          <t>QA-01 Fill the four empty Assumptions &amp; Limitations sections and update stale text (63-day blocks → D32 126; 2.8% → 2.65%)</t>
        </is>
      </c>
      <c r="E242" s="16" t="inlineStr">
        <is>
          <t>All members</t>
        </is>
      </c>
      <c r="F242" s="16" t="inlineStr">
        <is>
          <t>Not Started</t>
        </is>
      </c>
      <c r="G242" s="16" t="inlineStr">
        <is>
          <t>Ongoing</t>
        </is>
      </c>
      <c r="H242" s="14" t="n"/>
      <c r="I242" s="16" t="n"/>
      <c r="J242" s="16" t="n"/>
      <c r="K242" s="16" t="inlineStr">
        <is>
          <t>docs/ASSUMPTIONS_LIMITATIONS.md complete; app page re-checked</t>
        </is>
      </c>
      <c r="L242" s="16" t="inlineStr">
        <is>
          <t>Critical</t>
        </is>
      </c>
      <c r="M242" s="16" t="inlineStr">
        <is>
          <t>T15.02–T15.04</t>
        </is>
      </c>
      <c r="N242" s="16" t="inlineStr">
        <is>
          <t>QA audit 2026-10-30</t>
        </is>
      </c>
    </row>
    <row r="243" ht="36.75" customHeight="1" s="36">
      <c r="A243" s="8" t="inlineStr">
        <is>
          <t>T21.07</t>
        </is>
      </c>
      <c r="B243" s="8" t="inlineStr">
        <is>
          <t>T21</t>
        </is>
      </c>
      <c r="C243" s="16" t="inlineStr">
        <is>
          <t>Quality gates &amp; compliance QA</t>
        </is>
      </c>
      <c r="D243" s="16" t="inlineStr">
        <is>
          <t>QA-02 Quantify diversification benefit: undiversified vs portfolio VaR/ES (QA estimate O6: −29% VaR99, −25% ES99), diversification ratio, risk vs weight; add to report, tear sheet, app Risk page</t>
        </is>
      </c>
      <c r="E243" s="16" t="inlineStr">
        <is>
          <t>Dewmini</t>
        </is>
      </c>
      <c r="F243" s="16" t="inlineStr">
        <is>
          <t>Not Started</t>
        </is>
      </c>
      <c r="G243" s="16" t="inlineStr">
        <is>
          <t>Ongoing</t>
        </is>
      </c>
      <c r="H243" s="14" t="n"/>
      <c r="I243" s="16" t="n"/>
      <c r="J243" s="16" t="n"/>
      <c r="K243" s="16" t="inlineStr">
        <is>
          <t>table + report §5 + app</t>
        </is>
      </c>
      <c r="L243" s="16" t="inlineStr">
        <is>
          <t>Critical</t>
        </is>
      </c>
      <c r="M243" s="16" t="inlineStr">
        <is>
          <t>T4.14</t>
        </is>
      </c>
      <c r="N243" s="16" t="inlineStr">
        <is>
          <t>QA audit 2026-10-30</t>
        </is>
      </c>
    </row>
    <row r="244" ht="36.75" customHeight="1" s="36">
      <c r="A244" s="8" t="inlineStr">
        <is>
          <t>T21.08</t>
        </is>
      </c>
      <c r="B244" s="8" t="inlineStr">
        <is>
          <t>T21</t>
        </is>
      </c>
      <c r="C244" s="16" t="inlineStr">
        <is>
          <t>Quality gates &amp; compliance QA</t>
        </is>
      </c>
      <c r="D244" s="16" t="inlineStr">
        <is>
          <t>QA-03 Update README: status, app pages, run time (~2 h full pipeline), quick start, troubleshooting (Windows path length, numpy &lt; 2)</t>
        </is>
      </c>
      <c r="E244" s="16" t="inlineStr">
        <is>
          <t>Malindu</t>
        </is>
      </c>
      <c r="F244" s="16" t="inlineStr">
        <is>
          <t>Not Started</t>
        </is>
      </c>
      <c r="G244" s="16" t="inlineStr">
        <is>
          <t>Ongoing</t>
        </is>
      </c>
      <c r="H244" s="14" t="n"/>
      <c r="I244" s="16" t="n"/>
      <c r="J244" s="16" t="n"/>
      <c r="K244" s="16" t="inlineStr">
        <is>
          <t>README.md</t>
        </is>
      </c>
      <c r="L244" s="16" t="inlineStr">
        <is>
          <t>High</t>
        </is>
      </c>
      <c r="M244" s="16" t="inlineStr">
        <is>
          <t>T17.03</t>
        </is>
      </c>
      <c r="N244" s="16" t="inlineStr">
        <is>
          <t>QA audit 2026-10-30</t>
        </is>
      </c>
    </row>
    <row r="245" ht="36.75" customHeight="1" s="36">
      <c r="A245" s="8" t="inlineStr">
        <is>
          <t>T21.09</t>
        </is>
      </c>
      <c r="B245" s="8" t="inlineStr">
        <is>
          <t>T21</t>
        </is>
      </c>
      <c r="C245" s="16" t="inlineStr">
        <is>
          <t>Quality gates &amp; compliance QA</t>
        </is>
      </c>
      <c r="D245" s="16" t="inlineStr">
        <is>
          <t>QA-04 Judge quick start: decide whether to ship a results snapshot so the app opens without the 2-hour pipeline (outputs/ is gitignored)</t>
        </is>
      </c>
      <c r="E245" s="16" t="inlineStr">
        <is>
          <t>All members</t>
        </is>
      </c>
      <c r="F245" s="16" t="inlineStr">
        <is>
          <t>Not Started</t>
        </is>
      </c>
      <c r="G245" s="16" t="inlineStr">
        <is>
          <t>Ongoing</t>
        </is>
      </c>
      <c r="H245" s="14" t="n"/>
      <c r="I245" s="16" t="n"/>
      <c r="J245" s="16" t="n"/>
      <c r="K245" s="16" t="inlineStr">
        <is>
          <t>Decision + README</t>
        </is>
      </c>
      <c r="L245" s="16" t="inlineStr">
        <is>
          <t>High</t>
        </is>
      </c>
      <c r="M245" s="16" t="inlineStr">
        <is>
          <t>D16</t>
        </is>
      </c>
      <c r="N245" s="16" t="inlineStr">
        <is>
          <t>QA audit 2026-10-30</t>
        </is>
      </c>
    </row>
    <row r="246" ht="36.75" customHeight="1" s="36">
      <c r="A246" s="8" t="inlineStr">
        <is>
          <t>T21.10</t>
        </is>
      </c>
      <c r="B246" s="8" t="inlineStr">
        <is>
          <t>T21</t>
        </is>
      </c>
      <c r="C246" s="16" t="inlineStr">
        <is>
          <t>Quality gates &amp; compliance QA</t>
        </is>
      </c>
      <c r="D246" s="16" t="inlineStr">
        <is>
          <t>QA-06 Tear sheet: add the recommendation (ACCEPT, D34) and fit one page; memo fit one page (709 words now)</t>
        </is>
      </c>
      <c r="E246" s="16" t="inlineStr">
        <is>
          <t>Raveena</t>
        </is>
      </c>
      <c r="F246" s="16" t="inlineStr">
        <is>
          <t>Not Started</t>
        </is>
      </c>
      <c r="G246" s="16" t="inlineStr">
        <is>
          <t>Ongoing</t>
        </is>
      </c>
      <c r="H246" s="14" t="n"/>
      <c r="I246" s="16" t="n"/>
      <c r="J246" s="16" t="n"/>
      <c r="K246" s="16" t="inlineStr">
        <is>
          <t>PDF page check</t>
        </is>
      </c>
      <c r="L246" s="16" t="inlineStr">
        <is>
          <t>High</t>
        </is>
      </c>
      <c r="M246" s="16" t="inlineStr">
        <is>
          <t>T16.03, T16.04</t>
        </is>
      </c>
      <c r="N246" s="16" t="inlineStr">
        <is>
          <t>QA audit 2026-10-30</t>
        </is>
      </c>
    </row>
    <row r="247" ht="36.75" customHeight="1" s="36">
      <c r="A247" s="8" t="inlineStr">
        <is>
          <t>T21.11</t>
        </is>
      </c>
      <c r="B247" s="8" t="inlineStr">
        <is>
          <t>T21</t>
        </is>
      </c>
      <c r="C247" s="16" t="inlineStr">
        <is>
          <t>Quality gates &amp; compliance QA</t>
        </is>
      </c>
      <c r="D247" s="16" t="inlineStr">
        <is>
          <t>QA-07 Data-source compliance: macro context in memo/report from IMF/World Bank; IEA/EIA/Fed/news kept as disclosed background in research docs only</t>
        </is>
      </c>
      <c r="E247" s="16" t="inlineStr">
        <is>
          <t>Raveena</t>
        </is>
      </c>
      <c r="F247" s="16" t="inlineStr">
        <is>
          <t>Not Started</t>
        </is>
      </c>
      <c r="G247" s="16" t="inlineStr">
        <is>
          <t>Ongoing</t>
        </is>
      </c>
      <c r="H247" s="14" t="n"/>
      <c r="I247" s="16" t="n"/>
      <c r="J247" s="16" t="n"/>
      <c r="K247" s="16" t="inlineStr">
        <is>
          <t>memo/report/README wording</t>
        </is>
      </c>
      <c r="L247" s="16" t="inlineStr">
        <is>
          <t>Medium</t>
        </is>
      </c>
      <c r="M247" s="16" t="inlineStr">
        <is>
          <t>T12.05</t>
        </is>
      </c>
      <c r="N247" s="16" t="inlineStr">
        <is>
          <t>QA audit 2026-10-30</t>
        </is>
      </c>
    </row>
    <row r="248" ht="36.75" customHeight="1" s="36">
      <c r="A248" s="8" t="inlineStr">
        <is>
          <t>T21.12</t>
        </is>
      </c>
      <c r="B248" s="8" t="inlineStr">
        <is>
          <t>T21</t>
        </is>
      </c>
      <c r="C248" s="16" t="inlineStr">
        <is>
          <t>Quality gates &amp; compliance QA</t>
        </is>
      </c>
      <c r="D248" s="16" t="inlineStr">
        <is>
          <t>QA-08 Report: convert to PDF, verify 7–15 pages, rerun scripts/check_deliverables.py after edits</t>
        </is>
      </c>
      <c r="E248" s="16" t="inlineStr">
        <is>
          <t>Raveena</t>
        </is>
      </c>
      <c r="F248" s="16" t="inlineStr">
        <is>
          <t>Not Started</t>
        </is>
      </c>
      <c r="G248" s="16" t="inlineStr">
        <is>
          <t>Ongoing</t>
        </is>
      </c>
      <c r="H248" s="14" t="n"/>
      <c r="I248" s="16" t="n"/>
      <c r="J248" s="16" t="n"/>
      <c r="K248" s="16" t="inlineStr">
        <is>
          <t>report PDF</t>
        </is>
      </c>
      <c r="L248" s="16" t="inlineStr">
        <is>
          <t>Critical</t>
        </is>
      </c>
      <c r="M248" s="16" t="inlineStr">
        <is>
          <t>T16.02</t>
        </is>
      </c>
      <c r="N248" s="16" t="inlineStr">
        <is>
          <t>QA audit 2026-10-30</t>
        </is>
      </c>
    </row>
    <row r="249" ht="36.75" customHeight="1" s="36">
      <c r="A249" s="8" t="inlineStr">
        <is>
          <t>T21.13</t>
        </is>
      </c>
      <c r="B249" s="8" t="inlineStr">
        <is>
          <t>T21</t>
        </is>
      </c>
      <c r="C249" s="16" t="inlineStr">
        <is>
          <t>Quality gates &amp; compliance QA</t>
        </is>
      </c>
      <c r="D249" s="16" t="inlineStr">
        <is>
          <t>QA-09 Optional: backtest forecasts at 90% so the sidebar 90% applies to the backtest panel</t>
        </is>
      </c>
      <c r="E249" s="16" t="inlineStr">
        <is>
          <t>Malindu</t>
        </is>
      </c>
      <c r="F249" s="16" t="inlineStr">
        <is>
          <t>Not Started</t>
        </is>
      </c>
      <c r="G249" s="16" t="inlineStr">
        <is>
          <t>Ongoing</t>
        </is>
      </c>
      <c r="H249" s="14" t="n"/>
      <c r="I249" s="16" t="n"/>
      <c r="J249" s="16" t="n"/>
      <c r="K249" s="16" t="inlineStr">
        <is>
          <t>backtest_forecasts_* with 0.90</t>
        </is>
      </c>
      <c r="L249" s="16" t="inlineStr">
        <is>
          <t>Low</t>
        </is>
      </c>
      <c r="M249" s="16" t="inlineStr">
        <is>
          <t>T10</t>
        </is>
      </c>
      <c r="N249" s="16" t="inlineStr">
        <is>
          <t>QA audit 2026-10-30</t>
        </is>
      </c>
    </row>
    <row r="250" ht="36.75" customHeight="1" s="36">
      <c r="A250" s="8" t="inlineStr">
        <is>
          <t>T21.14</t>
        </is>
      </c>
      <c r="B250" s="8" t="inlineStr">
        <is>
          <t>T21</t>
        </is>
      </c>
      <c r="C250" s="16" t="inlineStr">
        <is>
          <t>Quality gates &amp; compliance QA</t>
        </is>
      </c>
      <c r="D250" s="16" t="inlineStr">
        <is>
          <t>QA-10 Record clean-install reproducibility result (diff of key outputs vs original) in a reproducibility log</t>
        </is>
      </c>
      <c r="E250" s="16" t="inlineStr">
        <is>
          <t>Malindu</t>
        </is>
      </c>
      <c r="F250" s="16" t="inlineStr">
        <is>
          <t>In Progress</t>
        </is>
      </c>
      <c r="G250" s="16" t="inlineStr">
        <is>
          <t>Ongoing</t>
        </is>
      </c>
      <c r="H250" s="14" t="n"/>
      <c r="I250" s="16" t="n"/>
      <c r="J250" s="16" t="n"/>
      <c r="K250" s="16" t="inlineStr">
        <is>
          <t>tracking/validation/REPRODUCIBILITY.md</t>
        </is>
      </c>
      <c r="L250" s="16" t="inlineStr">
        <is>
          <t>High</t>
        </is>
      </c>
      <c r="M250" s="16" t="inlineStr">
        <is>
          <t>T17.04</t>
        </is>
      </c>
      <c r="N250" s="16" t="inlineStr">
        <is>
          <t>QA audit 2026-10-30</t>
        </is>
      </c>
    </row>
    <row r="251" ht="36.75" customHeight="1" s="36">
      <c r="A251" s="8" t="inlineStr">
        <is>
          <t>T21.06</t>
        </is>
      </c>
      <c r="B251" s="8" t="inlineStr">
        <is>
          <t>T21</t>
        </is>
      </c>
      <c r="C251" s="16" t="inlineStr">
        <is>
          <t>Quality gates &amp; compliance QA</t>
        </is>
      </c>
      <c r="D251" s="16" t="inlineStr">
        <is>
          <t>Add R16–R20 to compliance matrix; update every status with evidence</t>
        </is>
      </c>
      <c r="E251" s="16" t="inlineStr">
        <is>
          <t>Malindu</t>
        </is>
      </c>
      <c r="F251" s="16" t="inlineStr">
        <is>
          <t>Done</t>
        </is>
      </c>
      <c r="G251" s="16" t="inlineStr">
        <is>
          <t>Ongoing</t>
        </is>
      </c>
      <c r="H251" s="14" t="n"/>
      <c r="I251" s="16" t="inlineStr">
        <is>
          <t>COMPLIANCE_MATRIX.md</t>
        </is>
      </c>
      <c r="J251" s="16" t="n"/>
      <c r="K251" s="16" t="inlineStr">
        <is>
          <t>COMPLIANCE_MATRIX.md</t>
        </is>
      </c>
      <c r="L251" s="16" t="inlineStr">
        <is>
          <t>Critical</t>
        </is>
      </c>
      <c r="M251" s="16" t="inlineStr">
        <is>
          <t>—</t>
        </is>
      </c>
      <c r="N251" s="16" t="inlineStr">
        <is>
          <t>Review 2026-10-28</t>
        </is>
      </c>
    </row>
    <row r="252" ht="36.75" customHeight="1" s="36">
      <c r="A252" s="8" t="inlineStr">
        <is>
          <t>T21.07</t>
        </is>
      </c>
      <c r="B252" s="8" t="inlineStr">
        <is>
          <t>T21</t>
        </is>
      </c>
      <c r="C252" s="16" t="inlineStr">
        <is>
          <t>Quality gates &amp; compliance QA</t>
        </is>
      </c>
      <c r="D252" s="16" t="inlineStr">
        <is>
          <t>Record innovations to date in the innovation log</t>
        </is>
      </c>
      <c r="E252" s="16" t="inlineStr">
        <is>
          <t>Sujan</t>
        </is>
      </c>
      <c r="F252" s="16" t="inlineStr">
        <is>
          <t>Done</t>
        </is>
      </c>
      <c r="G252" s="16" t="inlineStr">
        <is>
          <t>Ongoing</t>
        </is>
      </c>
      <c r="H252" s="14" t="n"/>
      <c r="I252" s="16" t="inlineStr">
        <is>
          <t>INNOVATION_LOG.md</t>
        </is>
      </c>
      <c r="J252" s="16" t="n"/>
      <c r="K252" s="16" t="inlineStr">
        <is>
          <t>INNOVATION_LOG.md</t>
        </is>
      </c>
      <c r="L252" s="16" t="inlineStr">
        <is>
          <t>High</t>
        </is>
      </c>
      <c r="M252" s="16" t="inlineStr">
        <is>
          <t>—</t>
        </is>
      </c>
      <c r="N252" s="16" t="inlineStr">
        <is>
          <t>Review 2026-10-28</t>
        </is>
      </c>
    </row>
    <row r="253" ht="36.75" customHeight="1" s="36">
      <c r="A253" s="8" t="inlineStr">
        <is>
          <t>T21.08</t>
        </is>
      </c>
      <c r="B253" s="8" t="inlineStr">
        <is>
          <t>T21</t>
        </is>
      </c>
      <c r="C253" s="16" t="inlineStr">
        <is>
          <t>Quality gates &amp; compliance QA</t>
        </is>
      </c>
      <c r="D253" s="16" t="inlineStr">
        <is>
          <t>Generate both Excel trackers from the repo tracker (tracking/export_excel.py)</t>
        </is>
      </c>
      <c r="E253" s="16" t="inlineStr">
        <is>
          <t>Malindu</t>
        </is>
      </c>
      <c r="F253" s="16" t="inlineStr">
        <is>
          <t>Done</t>
        </is>
      </c>
      <c r="G253" s="16" t="inlineStr">
        <is>
          <t>Ongoing</t>
        </is>
      </c>
      <c r="H253" s="14" t="n"/>
      <c r="I253" s="16" t="inlineStr">
        <is>
          <t>tracking/exports/*.xlsm</t>
        </is>
      </c>
      <c r="J253" s="16" t="n"/>
      <c r="K253" s="16" t="inlineStr">
        <is>
          <t>tracking/exports/*.xlsm</t>
        </is>
      </c>
      <c r="L253" s="16" t="inlineStr">
        <is>
          <t>High</t>
        </is>
      </c>
      <c r="M253" s="16" t="inlineStr">
        <is>
          <t>—</t>
        </is>
      </c>
      <c r="N253" s="16" t="inlineStr">
        <is>
          <t>Review 2026-10-28</t>
        </is>
      </c>
    </row>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2026-10-30T03:28:45Z</dcterms:created>
  <dcterms:modified xmlns:dcterms="http://purl.org/dc/terms/" xmlns:xsi="http://www.w3.org/2001/XMLSchema-instance" xsi:type="dcterms:W3CDTF">2026-10-30T03:28:45Z</dcterms:modified>
</cp:coreProperties>
</file>