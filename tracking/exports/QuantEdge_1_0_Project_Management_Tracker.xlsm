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240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4"/>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In Progress</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In Progress</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Done</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D235" s="19" t="inlineStr">
        <is>
          <t>09  Endowment sustainability &amp; recovery stress test: 15/20/25% falls, 1/3/5/7-year and lost-decade recoveries, D24 at 2.8%, costs, taxes, inflation; market view; bootstrap</t>
        </is>
      </c>
    </row>
    <row r="236" ht="34.5" customHeight="1" s="36">
      <c r="D236" s="19" t="inlineStr">
        <is>
          <t>10  Audit fix: 5-year drawdown test seed-tuned (4k paths) → 32k paths, block-length sensitivity; D30 2.8% propagated to hurdle and spending</t>
        </is>
      </c>
    </row>
    <row r="237" ht="34.5" customHeight="1" s="36">
      <c r="A237" s="17" t="inlineStr">
        <is>
          <t>T21</t>
        </is>
      </c>
      <c r="B237" s="18" t="inlineStr">
        <is>
          <t>Quality gates &amp; compliance QA</t>
        </is>
      </c>
      <c r="C237" s="18" t="inlineStr">
        <is>
          <t>Quality gates &amp; compliance QA</t>
        </is>
      </c>
      <c r="D237" s="19" t="inlineStr">
        <is>
          <t>01  Compliance check after every stage (R1–R20)</t>
        </is>
      </c>
      <c r="E237" s="18" t="inlineStr">
        <is>
          <t>Malindu</t>
        </is>
      </c>
      <c r="F237" s="18" t="inlineStr">
        <is>
          <t>Core ★</t>
        </is>
      </c>
      <c r="G237" s="18" t="inlineStr">
        <is>
          <t>In Progress</t>
        </is>
      </c>
      <c r="H237" s="20">
        <f>IFERROR(COUNTIFS(Subtasks!$B$5:$B$400,A237,Subtasks!$F$5:$F$400,"Done")/COUNTIF(Subtasks!$B$5:$B$400,A237),0)</f>
        <v/>
      </c>
      <c r="I237" s="18" t="inlineStr">
        <is>
          <t>Ongoing</t>
        </is>
      </c>
      <c r="J237" s="21" t="n"/>
      <c r="K237" s="18" t="n"/>
      <c r="L237" s="18" t="inlineStr">
        <is>
          <t>compliance-validator passes all R1–R20</t>
        </is>
      </c>
    </row>
    <row r="238" ht="34.5" customHeight="1" s="36">
      <c r="D238" s="19" t="inlineStr">
        <is>
          <t>02  Out-of-sample integrity gate: no leakage, frozen test, trial log</t>
        </is>
      </c>
    </row>
    <row r="239" ht="34.5" customHeight="1" s="36">
      <c r="D239" s="19" t="inlineStr">
        <is>
          <t>03  Calculation audit: units, signs, horizon consistent across stages</t>
        </is>
      </c>
    </row>
    <row r="240" ht="34.5" customHeight="1" s="36">
      <c r="D240" s="19" t="inlineStr">
        <is>
          <t>04  App / code QA: required panels, one-command run, tests green</t>
        </is>
      </c>
    </row>
    <row r="241" ht="34.5" customHeight="1" s="36">
      <c r="D241" s="19" t="inlineStr">
        <is>
          <t>05  Update FigJam board to match approved decisions (edit list in docs/research/PROJECT_REVIEW_2026-10-28.md §4)</t>
        </is>
      </c>
    </row>
    <row r="242" ht="34.5" customHeight="1" s="36">
      <c r="D242" s="19" t="inlineStr">
        <is>
          <t>06  Add R16–R20 to compliance matrix; update every status with evidence</t>
        </is>
      </c>
    </row>
    <row r="243" ht="34.5" customHeight="1" s="36">
      <c r="D243" s="19" t="inlineStr">
        <is>
          <t>07  Record innovations to date in the innovation log</t>
        </is>
      </c>
    </row>
    <row r="244" ht="34.5" customHeight="1" s="36">
      <c r="D244" s="19" t="inlineStr">
        <is>
          <t>08  Generate both Excel trackers from the repo tracker (tracking/export_excel.py)</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237:B244"/>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I227:I236"/>
    <mergeCell ref="C33:C61"/>
    <mergeCell ref="F168:F172"/>
    <mergeCell ref="E33:E61"/>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A206:A214"/>
    <mergeCell ref="I168:I172"/>
    <mergeCell ref="H33:H61"/>
    <mergeCell ref="A193:A198"/>
    <mergeCell ref="K168:K172"/>
    <mergeCell ref="C193:C198"/>
    <mergeCell ref="K237:K244"/>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F237:F244"/>
    <mergeCell ref="C173:C179"/>
    <mergeCell ref="C110:C114"/>
    <mergeCell ref="A1:K1"/>
    <mergeCell ref="E110:E114"/>
    <mergeCell ref="F193:F198"/>
    <mergeCell ref="H193:H198"/>
    <mergeCell ref="B215:B222"/>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G33:G61"/>
    <mergeCell ref="J168:J172"/>
    <mergeCell ref="I33:I61"/>
    <mergeCell ref="L168:L172"/>
    <mergeCell ref="I16:I32"/>
    <mergeCell ref="G88:G96"/>
    <mergeCell ref="A16:A32"/>
    <mergeCell ref="C16:C32"/>
    <mergeCell ref="I133:I144"/>
    <mergeCell ref="F133:F144"/>
    <mergeCell ref="A97:A109"/>
    <mergeCell ref="H133:H144"/>
    <mergeCell ref="A227:A236"/>
    <mergeCell ref="C227:C236"/>
    <mergeCell ref="E97:E109"/>
    <mergeCell ref="H5:H15"/>
    <mergeCell ref="L133:L144"/>
    <mergeCell ref="K110:K114"/>
    <mergeCell ref="J5:J15"/>
    <mergeCell ref="F206:F214"/>
    <mergeCell ref="C237:C244"/>
    <mergeCell ref="E237:E244"/>
    <mergeCell ref="B199:B205"/>
    <mergeCell ref="C206:C214"/>
    <mergeCell ref="E206:E214"/>
    <mergeCell ref="E193:E198"/>
    <mergeCell ref="L33:L61"/>
    <mergeCell ref="G193:G198"/>
    <mergeCell ref="I193:I198"/>
    <mergeCell ref="A127:A132"/>
    <mergeCell ref="I206:I214"/>
    <mergeCell ref="L16:L32"/>
    <mergeCell ref="B180:B192"/>
    <mergeCell ref="I173:I179"/>
    <mergeCell ref="F97:F109"/>
    <mergeCell ref="F227:F236"/>
    <mergeCell ref="H227:H236"/>
    <mergeCell ref="H237:H244"/>
    <mergeCell ref="J237:J244"/>
    <mergeCell ref="A2:K2"/>
    <mergeCell ref="H206:H214"/>
    <mergeCell ref="J193:J198"/>
    <mergeCell ref="A62:A87"/>
    <mergeCell ref="B127:B132"/>
    <mergeCell ref="L193:L198"/>
    <mergeCell ref="F215:F222"/>
    <mergeCell ref="A145:A167"/>
    <mergeCell ref="G223:G226"/>
    <mergeCell ref="B16:B32"/>
    <mergeCell ref="F33:F61"/>
    <mergeCell ref="E173:E179"/>
    <mergeCell ref="K227:K236"/>
    <mergeCell ref="L88:L96"/>
    <mergeCell ref="F16:F32"/>
    <mergeCell ref="B227:B236"/>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F173:F179"/>
    <mergeCell ref="E16:E32"/>
    <mergeCell ref="H173:H179"/>
    <mergeCell ref="G16:G32"/>
    <mergeCell ref="C97:C109"/>
    <mergeCell ref="E227:E236"/>
    <mergeCell ref="K16:K32"/>
    <mergeCell ref="G227:G236"/>
    <mergeCell ref="B168:B172"/>
    <mergeCell ref="A33:A61"/>
    <mergeCell ref="G97:G109"/>
    <mergeCell ref="I97:I109"/>
    <mergeCell ref="G62:G87"/>
    <mergeCell ref="G237:G244"/>
    <mergeCell ref="I237:I244"/>
    <mergeCell ref="I88:I96"/>
    <mergeCell ref="L127:L132"/>
    <mergeCell ref="G206:G214"/>
    <mergeCell ref="A237:A244"/>
    <mergeCell ref="A199:A205"/>
    <mergeCell ref="C199:C205"/>
    <mergeCell ref="B5:B15"/>
    <mergeCell ref="E199:E205"/>
    <mergeCell ref="A223:A226"/>
    <mergeCell ref="C127:C132"/>
    <mergeCell ref="K173:K179"/>
    <mergeCell ref="A168:A172"/>
    <mergeCell ref="H97:H109"/>
    <mergeCell ref="J97:J109"/>
    <mergeCell ref="J227:J236"/>
    <mergeCell ref="L227:L236"/>
    <mergeCell ref="L97:L109"/>
    <mergeCell ref="L237:L244"/>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4"/>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240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Done</t>
        </is>
      </c>
      <c r="G166" s="16" t="inlineStr">
        <is>
          <t>Weeks 2–3</t>
        </is>
      </c>
      <c r="H166" s="14" t="n"/>
      <c r="I166" s="16" t="inlineStr">
        <is>
          <t>pages/4_Stress: scenario/severity selector, factor sliders, waterfall, path chart</t>
        </is>
      </c>
      <c r="J166" s="16" t="n"/>
      <c r="K166" s="16" t="inlineStr">
        <is>
          <t>pages/4_Stress: scenario/severity selector, factor sliders, waterfall, path chart</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Done</t>
        </is>
      </c>
      <c r="G180" s="16" t="inlineStr">
        <is>
          <t>Weeks 2–3</t>
        </is>
      </c>
      <c r="H180" s="14" t="n"/>
      <c r="I180" s="16" t="inlineStr">
        <is>
          <t>app/components/ui.py sidebar: confidence 90/95/99, VaR method, backtest dates (session state)</t>
        </is>
      </c>
      <c r="J180" s="16" t="n"/>
      <c r="K180" s="16" t="inlineStr">
        <is>
          <t>app/components/ui.py sidebar: confidence 90/95/99, VaR method, backtest dates (session state)</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Done</t>
        </is>
      </c>
      <c r="G181" s="16" t="inlineStr">
        <is>
          <t>Weeks 2–3</t>
        </is>
      </c>
      <c r="H181" s="14" t="n"/>
      <c r="I181" s="16" t="inlineStr">
        <is>
          <t>pages/1_Portfolio: weights, growth of $10M vs benchmarks</t>
        </is>
      </c>
      <c r="J181" s="16" t="n"/>
      <c r="K181" s="16" t="inlineStr">
        <is>
          <t>pages/1_Portfolio: weights, growth of $10M vs benchmarks</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Done</t>
        </is>
      </c>
      <c r="G182" s="16" t="inlineStr">
        <is>
          <t>Weeks 2–3</t>
        </is>
      </c>
      <c r="H182" s="14" t="n"/>
      <c r="I182" s="16" t="inlineStr">
        <is>
          <t>pages/1_Portfolio: drawdown chart with D7 line, KPI table by period</t>
        </is>
      </c>
      <c r="J182" s="16" t="n"/>
      <c r="K182" s="16" t="inlineStr">
        <is>
          <t>pages/1_Portfolio: drawdown chart with D7 line, KPI table by period</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Done</t>
        </is>
      </c>
      <c r="G183" s="16" t="inlineStr">
        <is>
          <t>Weeks 2–3</t>
        </is>
      </c>
      <c r="H183" s="14" t="n"/>
      <c r="I183" s="16" t="inlineStr">
        <is>
          <t>pages/2_Risk: VaR/ES/EVT/GARCH-EVT side by side at chosen confidence, CIs, component ES vs D27</t>
        </is>
      </c>
      <c r="J183" s="16" t="n"/>
      <c r="K183" s="16" t="inlineStr">
        <is>
          <t>pages/2_Risk: VaR/ES/EVT/GARCH-EVT side by side at chosen confidence, CIs, component ES vs D27</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Done</t>
        </is>
      </c>
      <c r="G184" s="16" t="inlineStr">
        <is>
          <t>Weeks 2–3</t>
        </is>
      </c>
      <c r="H184" s="14" t="n"/>
      <c r="I184" s="16" t="inlineStr">
        <is>
          <t>pages/3_Backtest: Kupiec, Christoffersen, Basel recomputed on any date range; exception chart</t>
        </is>
      </c>
      <c r="J184" s="16" t="n"/>
      <c r="K184" s="16" t="inlineStr">
        <is>
          <t>pages/3_Backtest: Kupiec, Christoffersen, Basel recomputed on any date range; exception chart</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Done</t>
        </is>
      </c>
      <c r="G185" s="16" t="inlineStr">
        <is>
          <t>Weeks 2–3</t>
        </is>
      </c>
      <c r="H185" s="14" t="n"/>
      <c r="I185" s="16" t="inlineStr">
        <is>
          <t>pages/4_Stress: scenario table, contribution waterfall, 12-month paths, factor sliders</t>
        </is>
      </c>
      <c r="J185" s="16" t="n"/>
      <c r="K185" s="16" t="inlineStr">
        <is>
          <t>pages/4_Stress: scenario table, contribution waterfall, 12-month paths, factor sliders</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Done</t>
        </is>
      </c>
      <c r="G186" s="16" t="inlineStr">
        <is>
          <t>Weeks 2–3</t>
        </is>
      </c>
      <c r="H186" s="14" t="n"/>
      <c r="I186" s="16" t="inlineStr">
        <is>
          <t>pages/7_Assumptions from docs/ASSUMPTIONS_LIMITATIONS.md; tests/integration/test_app.py (9 pages run)</t>
        </is>
      </c>
      <c r="J186" s="16" t="n"/>
      <c r="K186" s="16" t="inlineStr">
        <is>
          <t>pages/7_Assumptions from docs/ASSUMPTIONS_LIMITATIONS.md; tests/integration/test_app.py (9 pages run)</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Done</t>
        </is>
      </c>
      <c r="G187" s="16" t="inlineStr">
        <is>
          <t>Weeks 2–3</t>
        </is>
      </c>
      <c r="H187" s="14" t="n"/>
      <c r="I187" s="16" t="inlineStr">
        <is>
          <t>app/components/data.py: cached loaders, outputs only</t>
        </is>
      </c>
      <c r="J187" s="16" t="n"/>
      <c r="K187" s="16" t="inlineStr">
        <is>
          <t>app/components/data.py: cached loaders, outputs only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Done</t>
        </is>
      </c>
      <c r="G188" s="16" t="inlineStr">
        <is>
          <t>Weeks 2–3</t>
        </is>
      </c>
      <c r="H188" s="14" t="n"/>
      <c r="I188" s="16" t="inlineStr">
        <is>
          <t>pages/6_Decision: P3, suitability gate, validation, triggers</t>
        </is>
      </c>
      <c r="J188" s="16" t="n"/>
      <c r="K188" s="16" t="inlineStr">
        <is>
          <t>pages/6_Decision: P3, suitability gate, validation, triggers</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Done</t>
        </is>
      </c>
      <c r="G189" s="16" t="inlineStr">
        <is>
          <t>Weeks 2–3</t>
        </is>
      </c>
      <c r="H189" s="14" t="n"/>
      <c r="I189" s="16" t="inlineStr">
        <is>
          <t>pages/8_Disclosure: AI disclosure, data sources, decision log</t>
        </is>
      </c>
      <c r="J189" s="16" t="n"/>
      <c r="K189" s="16" t="inlineStr">
        <is>
          <t>pages/8_Disclosure: AI disclosure, data sources, decision log</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Done</t>
        </is>
      </c>
      <c r="G190" s="16" t="inlineStr">
        <is>
          <t>Weeks 2–3</t>
        </is>
      </c>
      <c r="H190" s="14" t="n"/>
      <c r="I190" s="16" t="inlineStr">
        <is>
          <t>download buttons on Decision page (CSV / Markdown)</t>
        </is>
      </c>
      <c r="J190" s="16" t="n"/>
      <c r="K190" s="16" t="inlineStr">
        <is>
          <t>download buttons on Decision page (CSV / Markdown)</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In Progress</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Done</t>
        </is>
      </c>
      <c r="G192" s="16" t="inlineStr">
        <is>
          <t>Weeks 2–3</t>
        </is>
      </c>
      <c r="H192" s="14" t="n"/>
      <c r="I192" s="16" t="inlineStr">
        <is>
          <t>pages/5_Sustainability: what-if sliders (spending, growth, costs, inflation, ERP) + trade-off + recovery</t>
        </is>
      </c>
      <c r="J192" s="16" t="n"/>
      <c r="K192" s="16" t="inlineStr">
        <is>
          <t>pages/5_Sustainability: what-if sliders (spending, growth, costs, inflation, ERP) + trade-off + recovery</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In Progress</t>
        </is>
      </c>
      <c r="G199" s="16" t="inlineStr">
        <is>
          <t>Week 3</t>
        </is>
      </c>
      <c r="H199" s="14" t="n"/>
      <c r="I199" s="16" t="n"/>
      <c r="J199" s="16" t="n"/>
      <c r="K199" s="16" t="inlineStr">
        <is>
          <t>docs/deliverables/report/technical_report.md: 11 sections + appendix (draft, team review)</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In Progress</t>
        </is>
      </c>
      <c r="G200" s="16" t="inlineStr">
        <is>
          <t>Week 3</t>
        </is>
      </c>
      <c r="H200" s="14" t="n"/>
      <c r="I200" s="16" t="n"/>
      <c r="J200" s="16" t="n"/>
      <c r="K200" s="16" t="inlineStr">
        <is>
          <t>report draft: methods, evidence, tests, limitations (team to edit and own)</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In Progress</t>
        </is>
      </c>
      <c r="G201" s="16" t="inlineStr">
        <is>
          <t>Week 3</t>
        </is>
      </c>
      <c r="H201" s="14" t="n"/>
      <c r="I201" s="16" t="n"/>
      <c r="J201" s="16" t="n"/>
      <c r="K201" s="16" t="inlineStr">
        <is>
          <t>docs/deliverables/tear_sheet/tear_sheet.md (draft, team review)</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In Progress</t>
        </is>
      </c>
      <c r="G202" s="16" t="inlineStr">
        <is>
          <t>Week 3</t>
        </is>
      </c>
      <c r="H202" s="14" t="n"/>
      <c r="I202" s="16" t="n"/>
      <c r="J202" s="16" t="n"/>
      <c r="K202" s="16" t="inlineStr">
        <is>
          <t>docs/deliverables/memo/investment_committee_memo.md: verdict ACCEPT drafted, team to confirm (D14)</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Done</t>
        </is>
      </c>
      <c r="G203" s="16" t="inlineStr">
        <is>
          <t>Week 3</t>
        </is>
      </c>
      <c r="H203" s="14" t="n"/>
      <c r="I203" s="16" t="inlineStr">
        <is>
          <t>scripts/check_deliverables.py: 30 figures vs outputs, 0 mismatches (caught one rounding error)</t>
        </is>
      </c>
      <c r="J203" s="16" t="n"/>
      <c r="K203" s="16" t="inlineStr">
        <is>
          <t>scripts/check_deliverables.py: 30 figures vs outputs, 0 mismatches (caught one rounding error)</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In Progress</t>
        </is>
      </c>
      <c r="G204" s="16" t="inlineStr">
        <is>
          <t>Week 3</t>
        </is>
      </c>
      <c r="H204" s="14" t="n"/>
      <c r="I204" s="16" t="n"/>
      <c r="J204" s="16" t="n"/>
      <c r="K204" s="16" t="inlineStr">
        <is>
          <t>report §3 data sources and cleaning (draft)</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In Progress</t>
        </is>
      </c>
      <c r="G205" s="16" t="inlineStr">
        <is>
          <t>Week 3</t>
        </is>
      </c>
      <c r="H205" s="14" t="n"/>
      <c r="I205" s="16" t="n"/>
      <c r="J205" s="16" t="n"/>
      <c r="K205" s="16" t="inlineStr">
        <is>
          <t>report §2, §4.4 return objective, spending and risk-limit research (draft)</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In Progress</t>
        </is>
      </c>
      <c r="G215" s="16" t="inlineStr">
        <is>
          <t>Ongoing</t>
        </is>
      </c>
      <c r="H215" s="14" t="n"/>
      <c r="I215" s="16" t="n"/>
      <c r="J215" s="16" t="n"/>
      <c r="K215" s="16" t="inlineStr">
        <is>
          <t>AI_DISCLOSURE.md rows</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In Progress</t>
        </is>
      </c>
      <c r="G216" s="16" t="inlineStr">
        <is>
          <t>Ongoing</t>
        </is>
      </c>
      <c r="H216" s="14" t="n"/>
      <c r="I216" s="16" t="n"/>
      <c r="J216" s="16" t="n"/>
      <c r="K216" s="16" t="inlineStr">
        <is>
          <t>Material components column</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Not Started</t>
        </is>
      </c>
      <c r="G219" s="16" t="inlineStr">
        <is>
          <t>Ongoing</t>
        </is>
      </c>
      <c r="H219" s="14" t="n"/>
      <c r="I219" s="16" t="n"/>
      <c r="J219" s="16" t="n"/>
      <c r="K219" s="16" t="inlineStr">
        <is>
          <t>Tool · Purpose · Human validation · Material components</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In Progress</t>
        </is>
      </c>
      <c r="G221" s="16" t="inlineStr">
        <is>
          <t>Ongoing</t>
        </is>
      </c>
      <c r="H221" s="14" t="n"/>
      <c r="I221" s="16" t="n"/>
      <c r="J221" s="16" t="n"/>
      <c r="K221" s="16" t="inlineStr">
        <is>
          <t>AI_DISCLOSURE.md entries (team to review)</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Done</t>
        </is>
      </c>
      <c r="G227" s="16" t="inlineStr">
        <is>
          <t>Week 3</t>
        </is>
      </c>
      <c r="H227" s="14" t="n"/>
      <c r="I227" s="16" t="inlineStr">
        <is>
          <t>evidence: T4_25 doc + p3_summary (allocation, return, loss limit, tail, model trust, governance)</t>
        </is>
      </c>
      <c r="J227" s="16" t="n"/>
      <c r="K227" s="16" t="inlineStr">
        <is>
          <t>evidence: T4_25 doc + p3_summary (allocation, return, loss limit, tail, model trust, governance)</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Done</t>
        </is>
      </c>
      <c r="G228" s="16" t="inlineStr">
        <is>
          <t>Week 3</t>
        </is>
      </c>
      <c r="H228" s="14" t="n"/>
      <c r="I228" s="16" t="inlineStr">
        <is>
          <t>suitability gate: T4_25 §3 conditions; O6 passes all mandatory</t>
        </is>
      </c>
      <c r="J228" s="16" t="n"/>
      <c r="K228" s="16" t="inlineStr">
        <is>
          <t>suitability gate: T4_25 §3 conditions; O6 passes all mandatory</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Done</t>
        </is>
      </c>
      <c r="G229" s="16" t="inlineStr">
        <is>
          <t>Week 3</t>
        </is>
      </c>
      <c r="H229" s="14" t="n"/>
      <c r="I229" s="16" t="inlineStr">
        <is>
          <t>revise &amp; retest loop: audit 2026-10-29 (D31 withdrawn → D31 v2, D32, D33)</t>
        </is>
      </c>
      <c r="J229" s="16" t="n"/>
      <c r="K229" s="16" t="inlineStr">
        <is>
          <t>revise &amp; retest loop: audit 2026-10-29 (D31 withdrawn → D31 v2, D32, D33)</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Done</t>
        </is>
      </c>
      <c r="G230" s="16" t="inlineStr">
        <is>
          <t>Week 3</t>
        </is>
      </c>
      <c r="H230" s="14" t="n"/>
      <c r="I230" s="16" t="inlineStr">
        <is>
          <t>decision stage → outputs/p3_decision (O6: AGG 61.1, SPY 18.4, XLK 10, EFA 7.2, XLE 3.0, GLD 0.4; 5.80%, $265k spending)</t>
        </is>
      </c>
      <c r="J230" s="16" t="n"/>
      <c r="K230" s="16" t="inlineStr">
        <is>
          <t>decision stage → outputs/p3_decision (O6: AGG 61.1, SPY 18.4, XLK 10, EFA 7.2, XLE 3.0, GLD 0.4; 5.80%, $265k spending)</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Done</t>
        </is>
      </c>
      <c r="G231" s="16" t="inlineStr">
        <is>
          <t>Week 3</t>
        </is>
      </c>
      <c r="H231" s="14" t="n"/>
      <c r="I231" s="16" t="inlineStr">
        <is>
          <t>p3_triggers.csv: D23 ladder + Basel model check + quarterly rebalance + annual review</t>
        </is>
      </c>
      <c r="J231" s="16" t="n"/>
      <c r="K231" s="16" t="inlineStr">
        <is>
          <t>p3_triggers.csv: D23 ladder + Basel model check + quarterly rebalance + annual review</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Done</t>
        </is>
      </c>
      <c r="G232" s="16" t="inlineStr">
        <is>
          <t>Week 3</t>
        </is>
      </c>
      <c r="H232" s="14" t="n"/>
      <c r="I232" s="16" t="inlineStr">
        <is>
          <t>p3_tradeoff.csv: frontier spending vs drawdown vs P(DD), O6 marked (app widget pending T14)</t>
        </is>
      </c>
      <c r="J232" s="16" t="n"/>
      <c r="K232" s="16" t="inlineStr">
        <is>
          <t>p3_tradeoff.csv: frontier spending vs drawdown vs P(DD), O6 marked (app widget pending T14)</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Done</t>
        </is>
      </c>
      <c r="G233" s="16" t="inlineStr">
        <is>
          <t>Week 3</t>
        </is>
      </c>
      <c r="H233" s="14" t="n"/>
      <c r="I233" s="16" t="inlineStr">
        <is>
          <t>research_walkforward_*.csv: 6 origins 2008–2023; D7 drawdown held every segment; chained 7.3%/yr, Sharpe 0.89, DD −16.4% (policy 0.75, −19.2%); D27×D7 conflict at 2008/2011 noted</t>
        </is>
      </c>
      <c r="J233" s="16" t="n"/>
      <c r="K233" s="16" t="inlineStr">
        <is>
          <t>research_walkforward_*.csv: 6 origins 2008–2023; D7 drawdown held every segment; chained 7.3%/yr, Sharpe 0.89, DD −16.4% (policy 0.75, −19.2%); D27×D7 conflict at 2008/2011 noted</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Done</t>
        </is>
      </c>
      <c r="G234" s="16" t="inlineStr">
        <is>
          <t>Week 3</t>
        </is>
      </c>
      <c r="H234" s="14" t="n"/>
      <c r="I234" s="16" t="inlineStr">
        <is>
          <t>Approved 2026-10-30: watch rolling ES99 2.5% (was 2.0%; 20% → 9.6% of days)</t>
        </is>
      </c>
      <c r="J234" s="16" t="n"/>
      <c r="K234" s="16" t="inlineStr">
        <is>
          <t>Approved 2026-10-30: watch rolling ES99 2.5% (was 2.0%; 20% → 9.6% of days)</t>
        </is>
      </c>
      <c r="L234" s="16" t="inlineStr">
        <is>
          <t>Medium</t>
        </is>
      </c>
      <c r="M234" s="16" t="inlineStr">
        <is>
          <t>T10.12</t>
        </is>
      </c>
      <c r="N234" s="16" t="inlineStr">
        <is>
          <t>Limit-stability finding 2026-10-29</t>
        </is>
      </c>
    </row>
    <row r="235" ht="36.75" customHeight="1" s="36">
      <c r="A235" s="8" t="inlineStr">
        <is>
          <t>T20.09</t>
        </is>
      </c>
      <c r="B235" s="8" t="inlineStr">
        <is>
          <t>T20</t>
        </is>
      </c>
      <c r="C235" s="16" t="inlineStr">
        <is>
          <t>Decision gate &amp; final recommendation (P3)</t>
        </is>
      </c>
      <c r="D235" s="16" t="inlineStr">
        <is>
          <t>Endowment sustainability &amp; recovery stress test: 15/20/25% falls, 1/3/5/7-year and lost-decade recoveries, D24 at 2.8%, costs, taxes, inflation; market view; bootstrap</t>
        </is>
      </c>
      <c r="E235" s="16" t="inlineStr">
        <is>
          <t>All members</t>
        </is>
      </c>
      <c r="F235" s="16" t="inlineStr">
        <is>
          <t>Done</t>
        </is>
      </c>
      <c r="G235" s="16" t="inlineStr">
        <is>
          <t>Week 3</t>
        </is>
      </c>
      <c r="H235" s="14" t="n"/>
      <c r="I235" s="16" t="inlineStr">
        <is>
          <t>sustainability_*.csv + research_t425_eval_sustainability_*.csv</t>
        </is>
      </c>
      <c r="J235" s="16" t="n"/>
      <c r="K235" s="16" t="inlineStr">
        <is>
          <t>sustainability_*.csv + research_t425_eval_sustainability_*.csv</t>
        </is>
      </c>
      <c r="L235" s="16" t="inlineStr">
        <is>
          <t>Critical</t>
        </is>
      </c>
      <c r="M235" s="16" t="inlineStr">
        <is>
          <t>T20.10</t>
        </is>
      </c>
      <c r="N235" s="16" t="inlineStr">
        <is>
          <t>User request 2026-10-29</t>
        </is>
      </c>
    </row>
    <row r="236" ht="36.75" customHeight="1" s="36">
      <c r="A236" s="8" t="inlineStr">
        <is>
          <t>T20.10</t>
        </is>
      </c>
      <c r="B236" s="8" t="inlineStr">
        <is>
          <t>T20</t>
        </is>
      </c>
      <c r="C236" s="16" t="inlineStr">
        <is>
          <t>Decision gate &amp; final recommendation (P3)</t>
        </is>
      </c>
      <c r="D236" s="16" t="inlineStr">
        <is>
          <t>Audit fix: 5-year drawdown test seed-tuned (4k paths) → 32k paths, block-length sensitivity; D30 2.8% propagated to hurdle and spending</t>
        </is>
      </c>
      <c r="E236" s="16" t="inlineStr">
        <is>
          <t>Malindu</t>
        </is>
      </c>
      <c r="F236" s="16" t="inlineStr">
        <is>
          <t>Done</t>
        </is>
      </c>
      <c r="G236" s="16" t="inlineStr">
        <is>
          <t>Week 3</t>
        </is>
      </c>
      <c r="H236" s="14" t="n"/>
      <c r="I236" s="16" t="inlineStr">
        <is>
          <t>Pipeline rerun, D26 re-selected</t>
        </is>
      </c>
      <c r="J236" s="16" t="n"/>
      <c r="K236" s="16" t="inlineStr">
        <is>
          <t>Pipeline rerun, D26 re-selected</t>
        </is>
      </c>
      <c r="L236" s="16" t="inlineStr">
        <is>
          <t>Critical</t>
        </is>
      </c>
      <c r="M236" s="16" t="inlineStr">
        <is>
          <t>—</t>
        </is>
      </c>
      <c r="N236" s="16" t="inlineStr">
        <is>
          <t>Audit 2026-10-29</t>
        </is>
      </c>
    </row>
    <row r="237" ht="36.75" customHeight="1" s="36">
      <c r="A237" s="8" t="inlineStr">
        <is>
          <t>T21.01</t>
        </is>
      </c>
      <c r="B237" s="8" t="inlineStr">
        <is>
          <t>T21</t>
        </is>
      </c>
      <c r="C237" s="16" t="inlineStr">
        <is>
          <t>Quality gates &amp; compliance QA</t>
        </is>
      </c>
      <c r="D237" s="16" t="inlineStr">
        <is>
          <t>Compliance check after every stage (R1–R20)</t>
        </is>
      </c>
      <c r="E237" s="16" t="inlineStr">
        <is>
          <t>Malindu</t>
        </is>
      </c>
      <c r="F237" s="16" t="inlineStr">
        <is>
          <t>In Progress</t>
        </is>
      </c>
      <c r="G237" s="16" t="inlineStr">
        <is>
          <t>Ongoing</t>
        </is>
      </c>
      <c r="H237" s="14" t="n"/>
      <c r="I237" s="16" t="n"/>
      <c r="J237" s="16" t="n"/>
      <c r="K237" s="16" t="inlineStr">
        <is>
          <t>COMPLIANCE_MATRIX.md updated</t>
        </is>
      </c>
      <c r="L237" s="16" t="inlineStr">
        <is>
          <t>Critical</t>
        </is>
      </c>
      <c r="M237" s="16" t="inlineStr">
        <is>
          <t>each stage</t>
        </is>
      </c>
      <c r="N237" s="16" t="inlineStr">
        <is>
          <t>FJ N01 governance · REV</t>
        </is>
      </c>
    </row>
    <row r="238" ht="36.75" customHeight="1" s="36">
      <c r="A238" s="8" t="inlineStr">
        <is>
          <t>T21.02</t>
        </is>
      </c>
      <c r="B238" s="8" t="inlineStr">
        <is>
          <t>T21</t>
        </is>
      </c>
      <c r="C238" s="16" t="inlineStr">
        <is>
          <t>Quality gates &amp; compliance QA</t>
        </is>
      </c>
      <c r="D238" s="16" t="inlineStr">
        <is>
          <t>Out-of-sample integrity gate: no leakage, frozen test, trial log</t>
        </is>
      </c>
      <c r="E238" s="16" t="inlineStr">
        <is>
          <t>Malindu</t>
        </is>
      </c>
      <c r="F238" s="16" t="inlineStr">
        <is>
          <t>Not Started</t>
        </is>
      </c>
      <c r="G238" s="16" t="inlineStr">
        <is>
          <t>Ongoing</t>
        </is>
      </c>
      <c r="H238" s="14" t="n"/>
      <c r="I238" s="16" t="n"/>
      <c r="J238" s="16" t="n"/>
      <c r="K238" s="16" t="inlineStr">
        <is>
          <t>Leakage tests + trial log</t>
        </is>
      </c>
      <c r="L238" s="16" t="inlineStr">
        <is>
          <t>Critical</t>
        </is>
      </c>
      <c r="M238" s="16" t="inlineStr">
        <is>
          <t>T2.13</t>
        </is>
      </c>
      <c r="N238" s="16" t="inlineStr">
        <is>
          <t>FJ OOS integrity gate</t>
        </is>
      </c>
    </row>
    <row r="239" ht="36.75" customHeight="1" s="36">
      <c r="A239" s="8" t="inlineStr">
        <is>
          <t>T21.03</t>
        </is>
      </c>
      <c r="B239" s="8" t="inlineStr">
        <is>
          <t>T21</t>
        </is>
      </c>
      <c r="C239" s="16" t="inlineStr">
        <is>
          <t>Quality gates &amp; compliance QA</t>
        </is>
      </c>
      <c r="D239" s="16" t="inlineStr">
        <is>
          <t>Calculation audit: units, signs, horizon consistent across stages</t>
        </is>
      </c>
      <c r="E239" s="16" t="inlineStr">
        <is>
          <t>Malindu</t>
        </is>
      </c>
      <c r="F239" s="16" t="inlineStr">
        <is>
          <t>Not Started</t>
        </is>
      </c>
      <c r="G239" s="16" t="inlineStr">
        <is>
          <t>Ongoing</t>
        </is>
      </c>
      <c r="H239" s="14" t="n"/>
      <c r="I239" s="16" t="n"/>
      <c r="J239" s="16" t="n"/>
      <c r="K239" s="16" t="inlineStr">
        <is>
          <t>Audit checklist vs CALCULATION_DICTIONARY.md</t>
        </is>
      </c>
      <c r="L239" s="16" t="inlineStr">
        <is>
          <t>Critical</t>
        </is>
      </c>
      <c r="M239" s="16" t="inlineStr">
        <is>
          <t>each stage</t>
        </is>
      </c>
      <c r="N239" s="16" t="inlineStr">
        <is>
          <t>FJ calculation audit</t>
        </is>
      </c>
    </row>
    <row r="240" ht="36.75" customHeight="1" s="36">
      <c r="A240" s="8" t="inlineStr">
        <is>
          <t>T21.04</t>
        </is>
      </c>
      <c r="B240" s="8" t="inlineStr">
        <is>
          <t>T21</t>
        </is>
      </c>
      <c r="C240" s="16" t="inlineStr">
        <is>
          <t>Quality gates &amp; compliance QA</t>
        </is>
      </c>
      <c r="D240" s="16" t="inlineStr">
        <is>
          <t>App / code QA: required panels, one-command run, tests green</t>
        </is>
      </c>
      <c r="E240" s="16" t="inlineStr">
        <is>
          <t>Malindu</t>
        </is>
      </c>
      <c r="F240" s="16" t="inlineStr">
        <is>
          <t>Not Started</t>
        </is>
      </c>
      <c r="G240" s="16" t="inlineStr">
        <is>
          <t>Ongoing</t>
        </is>
      </c>
      <c r="H240" s="14" t="n"/>
      <c r="I240" s="16" t="n"/>
      <c r="J240" s="16" t="n"/>
      <c r="K240" s="16" t="inlineStr">
        <is>
          <t>QA checklist</t>
        </is>
      </c>
      <c r="L240" s="16" t="inlineStr">
        <is>
          <t>Critical</t>
        </is>
      </c>
      <c r="M240" s="16" t="inlineStr">
        <is>
          <t>T14.*</t>
        </is>
      </c>
      <c r="N240" s="16" t="inlineStr">
        <is>
          <t>FJ app/code QA</t>
        </is>
      </c>
    </row>
    <row r="241" ht="36.75" customHeight="1" s="36">
      <c r="A241" s="8" t="inlineStr">
        <is>
          <t>T21.05</t>
        </is>
      </c>
      <c r="B241" s="8" t="inlineStr">
        <is>
          <t>T21</t>
        </is>
      </c>
      <c r="C241" s="16" t="inlineStr">
        <is>
          <t>Quality gates &amp; compliance QA</t>
        </is>
      </c>
      <c r="D241" s="16" t="inlineStr">
        <is>
          <t>Update FigJam board to match approved decisions (edit list in docs/research/PROJECT_REVIEW_2026-10-28.md §4)</t>
        </is>
      </c>
      <c r="E241" s="16" t="inlineStr">
        <is>
          <t>Malindu</t>
        </is>
      </c>
      <c r="F241" s="16" t="inlineStr">
        <is>
          <t>Not Started</t>
        </is>
      </c>
      <c r="G241" s="16" t="inlineStr">
        <is>
          <t>Ongoing</t>
        </is>
      </c>
      <c r="H241" s="14" t="n"/>
      <c r="I241" s="16" t="n"/>
      <c r="J241" s="16" t="n"/>
      <c r="K241" s="16" t="inlineStr">
        <is>
          <t>Board matches MODEL_DESIGN.md</t>
        </is>
      </c>
      <c r="L241" s="16" t="inlineStr">
        <is>
          <t>High</t>
        </is>
      </c>
      <c r="M241" s="16" t="inlineStr">
        <is>
          <t>—</t>
        </is>
      </c>
      <c r="N241" s="16" t="inlineStr">
        <is>
          <t>DEC D14, D20</t>
        </is>
      </c>
    </row>
    <row r="242" ht="36.75" customHeight="1" s="36">
      <c r="A242" s="8" t="inlineStr">
        <is>
          <t>T21.06</t>
        </is>
      </c>
      <c r="B242" s="8" t="inlineStr">
        <is>
          <t>T21</t>
        </is>
      </c>
      <c r="C242" s="16" t="inlineStr">
        <is>
          <t>Quality gates &amp; compliance QA</t>
        </is>
      </c>
      <c r="D242" s="16" t="inlineStr">
        <is>
          <t>Add R16–R20 to compliance matrix; update every status with evidence</t>
        </is>
      </c>
      <c r="E242" s="16" t="inlineStr">
        <is>
          <t>Malindu</t>
        </is>
      </c>
      <c r="F242" s="16" t="inlineStr">
        <is>
          <t>Done</t>
        </is>
      </c>
      <c r="G242" s="16" t="inlineStr">
        <is>
          <t>Ongoing</t>
        </is>
      </c>
      <c r="H242" s="14" t="n"/>
      <c r="I242" s="16" t="inlineStr">
        <is>
          <t>COMPLIANCE_MATRIX.md</t>
        </is>
      </c>
      <c r="J242" s="16" t="n"/>
      <c r="K242" s="16" t="inlineStr">
        <is>
          <t>COMPLIANCE_MATRIX.md</t>
        </is>
      </c>
      <c r="L242" s="16" t="inlineStr">
        <is>
          <t>Critical</t>
        </is>
      </c>
      <c r="M242" s="16" t="inlineStr">
        <is>
          <t>—</t>
        </is>
      </c>
      <c r="N242" s="16" t="inlineStr">
        <is>
          <t>Review 2026-10-28</t>
        </is>
      </c>
    </row>
    <row r="243" ht="36.75" customHeight="1" s="36">
      <c r="A243" s="8" t="inlineStr">
        <is>
          <t>T21.07</t>
        </is>
      </c>
      <c r="B243" s="8" t="inlineStr">
        <is>
          <t>T21</t>
        </is>
      </c>
      <c r="C243" s="16" t="inlineStr">
        <is>
          <t>Quality gates &amp; compliance QA</t>
        </is>
      </c>
      <c r="D243" s="16" t="inlineStr">
        <is>
          <t>Record innovations to date in the innovation log</t>
        </is>
      </c>
      <c r="E243" s="16" t="inlineStr">
        <is>
          <t>Sujan</t>
        </is>
      </c>
      <c r="F243" s="16" t="inlineStr">
        <is>
          <t>Done</t>
        </is>
      </c>
      <c r="G243" s="16" t="inlineStr">
        <is>
          <t>Ongoing</t>
        </is>
      </c>
      <c r="H243" s="14" t="n"/>
      <c r="I243" s="16" t="inlineStr">
        <is>
          <t>INNOVATION_LOG.md</t>
        </is>
      </c>
      <c r="J243" s="16" t="n"/>
      <c r="K243" s="16" t="inlineStr">
        <is>
          <t>INNOVATION_LOG.md</t>
        </is>
      </c>
      <c r="L243" s="16" t="inlineStr">
        <is>
          <t>High</t>
        </is>
      </c>
      <c r="M243" s="16" t="inlineStr">
        <is>
          <t>—</t>
        </is>
      </c>
      <c r="N243" s="16" t="inlineStr">
        <is>
          <t>Review 2026-10-28</t>
        </is>
      </c>
    </row>
    <row r="244" ht="36.75" customHeight="1" s="36">
      <c r="A244" s="8" t="inlineStr">
        <is>
          <t>T21.08</t>
        </is>
      </c>
      <c r="B244" s="8" t="inlineStr">
        <is>
          <t>T21</t>
        </is>
      </c>
      <c r="C244" s="16" t="inlineStr">
        <is>
          <t>Quality gates &amp; compliance QA</t>
        </is>
      </c>
      <c r="D244" s="16" t="inlineStr">
        <is>
          <t>Generate both Excel trackers from the repo tracker (tracking/export_excel.py)</t>
        </is>
      </c>
      <c r="E244" s="16" t="inlineStr">
        <is>
          <t>Malindu</t>
        </is>
      </c>
      <c r="F244" s="16" t="inlineStr">
        <is>
          <t>Done</t>
        </is>
      </c>
      <c r="G244" s="16" t="inlineStr">
        <is>
          <t>Ongoing</t>
        </is>
      </c>
      <c r="H244" s="14" t="n"/>
      <c r="I244" s="16" t="inlineStr">
        <is>
          <t>tracking/exports/*.xlsm</t>
        </is>
      </c>
      <c r="J244" s="16" t="n"/>
      <c r="K244" s="16" t="inlineStr">
        <is>
          <t>tracking/exports/*.xlsm</t>
        </is>
      </c>
      <c r="L244" s="16" t="inlineStr">
        <is>
          <t>High</t>
        </is>
      </c>
      <c r="M244" s="16" t="inlineStr">
        <is>
          <t>—</t>
        </is>
      </c>
      <c r="N244" s="16" t="inlineStr">
        <is>
          <t>Review 2026-10-28</t>
        </is>
      </c>
    </row>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2026-10-30T02:52:03Z</dcterms:created>
  <dcterms:modified xmlns:dcterms="http://purl.org/dc/terms/" xmlns:xsi="http://www.w3.org/2001/XMLSchema-instance" xsi:type="dcterms:W3CDTF">2026-10-30T02:52:03Z</dcterms:modified>
</cp:coreProperties>
</file>